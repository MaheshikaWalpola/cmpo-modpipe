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verage_Classes" sheetId="2" state="visible" r:id="rId4"/>
    <sheet name="Coverage_Properties" sheetId="3" state="visible" r:id="rId5"/>
    <sheet name="Synthetic_Observations" sheetId="4" state="visible" r:id="rId6"/>
    <sheet name="Synthetic_Entities" sheetId="5" state="visible" r:id="rId7"/>
    <sheet name="CSV_Mappin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<sst xmlns="http://schemas.openxmlformats.org/spreadsheetml/2006/main" count="3902" uniqueCount="1075">
  <si>
    <t xml:space="preserve">CMPO v2.0 Synthetic Completion Table — PHM 2016 test sample</t>
  </si>
  <si>
    <t xml:space="preserve">Purpose</t>
  </si>
  <si>
    <t xml:space="preserve">Schema-coverage completion for CMPO v2.0 (frozen): identifies which schema elements the real PHM 2016 test CSVs populate, and provides schema-conformant SYNTHETIC observations and entities for every element the real data does not populate. Built per the task-sheet rule: synthetic data allowed for coverage completion, always labeled, real vs synthetic reported separately.</t>
  </si>
  <si>
    <t xml:space="preserve">Inputs</t>
  </si>
  <si>
    <t xml:space="preserve">CMPtest000.csv (1326 sensor rows, 4 wafer runs, machine 2, stages A/B, chambers 1-6) and CMPtestremovalrate.csv (424 wafer runs with AVG_REMOVAL_RATE). All 4 wafer/stage runs in CMPtest000 have removal-rate labels. Schema: cmpo-v2.0.ttl (frozen, identical to project copy).</t>
  </si>
  <si>
    <t xml:space="preserve">Labeling scheme</t>
  </si>
  <si>
    <t xml:space="preserve">Every synthetic row carries provenance = 'synthetic' (column A) and every synthetic entity IRI uses the syn_ prefix. Real data carries no syn_ prefix and provenance = 'real'. In the graph, use e.g. dcterms:source or a cmpo-ext provenance flag so both shares stay separable in every reported number.</t>
  </si>
  <si>
    <t xml:space="preserve">Sheets</t>
  </si>
  <si>
    <t xml:space="preserve">Coverage_Classes: all 165 CMPO classes with coverage status. Coverage_Properties: all 116 CMPO properties. Synthetic_Observations: 80 schema-conformant observations for the 20 observable parameters the PHM sample does not populate. Synthetic_Entities: 95 entities (243 property assertions) exercising all remaining classes/properties. CSV_Mapping: the 28-header CSV-to-CMPO mapping.</t>
  </si>
  <si>
    <t xml:space="preserve">Status legend</t>
  </si>
  <si>
    <t xml:space="preserve">REAL = populated by the two test CSVs. SYNTHETIC = populated by rows in this workbook. STRUCTURAL = abstract superclass exercised via instantiated subclasses. SCHEMA = populated by assertions inside cmpo-v2.0.ttl itself (units, canonical units). DOC-ONLY = documentation/code-list class, not instantiated by design (cmpo:WaferStatus).</t>
  </si>
  <si>
    <t xml:space="preserve">Result</t>
  </si>
  <si>
    <t xml:space="preserve">0 elements NOT COVERED. Coverage shares are computed live in Coverage_Summary block below (COUNTIF formulas).</t>
  </si>
  <si>
    <t xml:space="preserve">Provenance</t>
  </si>
  <si>
    <t xml:space="preserve">Generated 2026-07-14 by Maheshika Walpola with Claude (Cowork), from the two uploaded PHM test CSVs and frozen cmpo-v2.0.ttl. Values in synthetic rows are domain-plausible but NOT measured; they must never enter physical analyses.</t>
  </si>
  <si>
    <t xml:space="preserve">Coverage summary</t>
  </si>
  <si>
    <t xml:space="preserve">Classes total</t>
  </si>
  <si>
    <t xml:space="preserve">Classes REAL (incl. REAL + SYNTHETIC)</t>
  </si>
  <si>
    <t xml:space="preserve">Classes SYNTHETIC (incl. REAL + SYNTHETIC)</t>
  </si>
  <si>
    <t xml:space="preserve">Classes STRUCTURAL</t>
  </si>
  <si>
    <t xml:space="preserve">Classes SCHEMA / DOC-ONLY</t>
  </si>
  <si>
    <t xml:space="preserve">Classes NOT COVERED</t>
  </si>
  <si>
    <t xml:space="preserve">Properties total</t>
  </si>
  <si>
    <t xml:space="preserve">Properties REAL (incl. REAL + SYNTHETIC)</t>
  </si>
  <si>
    <t xml:space="preserve">Properties SYNTHETIC (incl. REAL + SYNTHETIC)</t>
  </si>
  <si>
    <t xml:space="preserve">Properties SCHEMA</t>
  </si>
  <si>
    <t xml:space="preserve">Properties NOT COVERED</t>
  </si>
  <si>
    <t xml:space="preserve">cmpo_class</t>
  </si>
  <si>
    <t xml:space="preserve">label</t>
  </si>
  <si>
    <t xml:space="preserve">status</t>
  </si>
  <si>
    <t xml:space="preserve">covered_by</t>
  </si>
  <si>
    <t xml:space="preserve">cmpo:AFMTool</t>
  </si>
  <si>
    <t xml:space="preserve">AFM Tool</t>
  </si>
  <si>
    <t xml:space="preserve">SYNTHETIC</t>
  </si>
  <si>
    <t xml:space="preserve">synthetic completion table</t>
  </si>
  <si>
    <t xml:space="preserve">cmpo:AbrasiveParticleSize</t>
  </si>
  <si>
    <t xml:space="preserve">Abrasive Particle Size</t>
  </si>
  <si>
    <t xml:space="preserve">cmpo:AbrasiveType</t>
  </si>
  <si>
    <t xml:space="preserve">Abrasive Type</t>
  </si>
  <si>
    <t xml:space="preserve">STRUCTURAL</t>
  </si>
  <si>
    <t xml:space="preserve">exercised via instantiated subclass(es)</t>
  </si>
  <si>
    <t xml:space="preserve">cmpo:Agent</t>
  </si>
  <si>
    <t xml:space="preserve">Agent</t>
  </si>
  <si>
    <t xml:space="preserve">cmpo:AluminaAbrasive</t>
  </si>
  <si>
    <t xml:space="preserve">Alumina Abrasive</t>
  </si>
  <si>
    <t xml:space="preserve">cmpo:AverageRemovalRate</t>
  </si>
  <si>
    <t xml:space="preserve">Average Removal Rate</t>
  </si>
  <si>
    <t xml:space="preserve">REAL</t>
  </si>
  <si>
    <t xml:space="preserve">PHM test CSVs (this sample)</t>
  </si>
  <si>
    <t xml:space="preserve">cmpo:BackSide</t>
  </si>
  <si>
    <t xml:space="preserve">Back Side</t>
  </si>
  <si>
    <t xml:space="preserve">cmpo:BackingFilm</t>
  </si>
  <si>
    <t xml:space="preserve">Backing Film</t>
  </si>
  <si>
    <t xml:space="preserve">cmpo:BackingFilmUsage</t>
  </si>
  <si>
    <t xml:space="preserve">Backing Film Usage</t>
  </si>
  <si>
    <t xml:space="preserve">cmpo:Buffing</t>
  </si>
  <si>
    <t xml:space="preserve">Buffing</t>
  </si>
  <si>
    <t xml:space="preserve">cmpo:BulkRemoval</t>
  </si>
  <si>
    <t xml:space="preserve">Bulk Removal</t>
  </si>
  <si>
    <t xml:space="preserve">cmpo:CMPDefect</t>
  </si>
  <si>
    <t xml:space="preserve">CMP Defect</t>
  </si>
  <si>
    <t xml:space="preserve">cmpo:CMPObservation</t>
  </si>
  <si>
    <t xml:space="preserve">CMP Observation</t>
  </si>
  <si>
    <t xml:space="preserve">cmpo:CMPParameter</t>
  </si>
  <si>
    <t xml:space="preserve">CMP Parameter</t>
  </si>
  <si>
    <t xml:space="preserve">cmpo:CMPSensor</t>
  </si>
  <si>
    <t xml:space="preserve">CMP Sensor</t>
  </si>
  <si>
    <t xml:space="preserve">cmpo:CMPToolType</t>
  </si>
  <si>
    <t xml:space="preserve">CMP Tool Type</t>
  </si>
  <si>
    <t xml:space="preserve">cmpo:Carrier</t>
  </si>
  <si>
    <t xml:space="preserve">Carrier</t>
  </si>
  <si>
    <t xml:space="preserve">cmpo:CarrierRotationSpeed</t>
  </si>
  <si>
    <t xml:space="preserve">Carrier Rotation Speed</t>
  </si>
  <si>
    <t xml:space="preserve">cmpo:CenterAirBagPressure</t>
  </si>
  <si>
    <t xml:space="preserve">Center Air Bag Pressure</t>
  </si>
  <si>
    <t xml:space="preserve">cmpo:CenterAirBagZone</t>
  </si>
  <si>
    <t xml:space="preserve">Center Air Bag Zone</t>
  </si>
  <si>
    <t xml:space="preserve">cmpo:CeriaAbrasive</t>
  </si>
  <si>
    <t xml:space="preserve">Ceria Abrasive</t>
  </si>
  <si>
    <t xml:space="preserve">cmpo:Chamber</t>
  </si>
  <si>
    <t xml:space="preserve">Chamber</t>
  </si>
  <si>
    <t xml:space="preserve">REAL + SYNTHETIC</t>
  </si>
  <si>
    <t xml:space="preserve">PHM CSVs + synthetic table</t>
  </si>
  <si>
    <t xml:space="preserve">cmpo:ChemicalAdditive</t>
  </si>
  <si>
    <t xml:space="preserve">Chemical Additive</t>
  </si>
  <si>
    <t xml:space="preserve">cmpo:CleaningAgent</t>
  </si>
  <si>
    <t xml:space="preserve">Cleaning Agent</t>
  </si>
  <si>
    <t xml:space="preserve">cmpo:CleanroomHumidity</t>
  </si>
  <si>
    <t xml:space="preserve">Cleanroom Humidity</t>
  </si>
  <si>
    <t xml:space="preserve">cmpo:CleanroomTemperature</t>
  </si>
  <si>
    <t xml:space="preserve">Cleanroom Temperature</t>
  </si>
  <si>
    <t xml:space="preserve">cmpo:Clearing</t>
  </si>
  <si>
    <t xml:space="preserve">Clearing</t>
  </si>
  <si>
    <t xml:space="preserve">cmpo:Complexant</t>
  </si>
  <si>
    <t xml:space="preserve">Complexing Agent</t>
  </si>
  <si>
    <t xml:space="preserve">cmpo:ConcentricGroove</t>
  </si>
  <si>
    <t xml:space="preserve">Concentric Groove</t>
  </si>
  <si>
    <t xml:space="preserve">cmpo:Conditioner</t>
  </si>
  <si>
    <t xml:space="preserve">Conditioner</t>
  </si>
  <si>
    <t xml:space="preserve">cmpo:ConditionerDisc</t>
  </si>
  <si>
    <t xml:space="preserve">Conditioner Disc</t>
  </si>
  <si>
    <t xml:space="preserve">cmpo:ConditionerPad</t>
  </si>
  <si>
    <t xml:space="preserve">Conditioner Pad</t>
  </si>
  <si>
    <t xml:space="preserve">cmpo:ConditionerTable</t>
  </si>
  <si>
    <t xml:space="preserve">Conditioner Table</t>
  </si>
  <si>
    <t xml:space="preserve">cmpo:ConditioningForce</t>
  </si>
  <si>
    <t xml:space="preserve">Conditioning Force</t>
  </si>
  <si>
    <t xml:space="preserve">cmpo:ConditioningParameter</t>
  </si>
  <si>
    <t xml:space="preserve">Conditioning Parameter</t>
  </si>
  <si>
    <t xml:space="preserve">cmpo:ConditioningRatio</t>
  </si>
  <si>
    <t xml:space="preserve">Conditioning Ratio</t>
  </si>
  <si>
    <t xml:space="preserve">cmpo:ConditioningSweepRate</t>
  </si>
  <si>
    <t xml:space="preserve">Conditioning Sweep Rate</t>
  </si>
  <si>
    <t xml:space="preserve">cmpo:Consumable</t>
  </si>
  <si>
    <t xml:space="preserve">Consumable</t>
  </si>
  <si>
    <t xml:space="preserve">cmpo:ContactPressure</t>
  </si>
  <si>
    <t xml:space="preserve">Contact Pressure</t>
  </si>
  <si>
    <t xml:space="preserve">cmpo:ControlWafer</t>
  </si>
  <si>
    <t xml:space="preserve">Control Wafer</t>
  </si>
  <si>
    <t xml:space="preserve">cmpo:Corrosion</t>
  </si>
  <si>
    <t xml:space="preserve">Corrosion</t>
  </si>
  <si>
    <t xml:space="preserve">cmpo:CrystallographicOrientation</t>
  </si>
  <si>
    <t xml:space="preserve">Crystallographic Orientation</t>
  </si>
  <si>
    <t xml:space="preserve">cmpo:DefectType</t>
  </si>
  <si>
    <t xml:space="preserve">Defect Type</t>
  </si>
  <si>
    <t xml:space="preserve">cmpo:DiWater</t>
  </si>
  <si>
    <t xml:space="preserve">DI Water</t>
  </si>
  <si>
    <t xml:space="preserve">cmpo:Dishing</t>
  </si>
  <si>
    <t xml:space="preserve">Dishing</t>
  </si>
  <si>
    <t xml:space="preserve">cmpo:Downforce</t>
  </si>
  <si>
    <t xml:space="preserve">Downforce</t>
  </si>
  <si>
    <t xml:space="preserve">cmpo:DresserTableUsage</t>
  </si>
  <si>
    <t xml:space="preserve">Dresser Table Usage</t>
  </si>
  <si>
    <t xml:space="preserve">cmpo:DresserUsage</t>
  </si>
  <si>
    <t xml:space="preserve">Dresser Usage</t>
  </si>
  <si>
    <t xml:space="preserve">cmpo:DressingWaterStatus</t>
  </si>
  <si>
    <t xml:space="preserve">Dressing Water Status</t>
  </si>
  <si>
    <t xml:space="preserve">cmpo:DummyWafer</t>
  </si>
  <si>
    <t xml:space="preserve">Dummy Wafer</t>
  </si>
  <si>
    <t xml:space="preserve">cmpo:EPDMethod</t>
  </si>
  <si>
    <t xml:space="preserve">EPD Method</t>
  </si>
  <si>
    <t xml:space="preserve">cmpo:EdgeAirBagPressure</t>
  </si>
  <si>
    <t xml:space="preserve">Edge Air Bag Pressure</t>
  </si>
  <si>
    <t xml:space="preserve">cmpo:EdgeAirBagZone</t>
  </si>
  <si>
    <t xml:space="preserve">Edge Air Bag Zone</t>
  </si>
  <si>
    <t xml:space="preserve">cmpo:EllipsometerTool</t>
  </si>
  <si>
    <t xml:space="preserve">Ellipsometer</t>
  </si>
  <si>
    <t xml:space="preserve">cmpo:EndPointDetection</t>
  </si>
  <si>
    <t xml:space="preserve">End-Point Detection</t>
  </si>
  <si>
    <t xml:space="preserve">cmpo:EngineeringLot</t>
  </si>
  <si>
    <t xml:space="preserve">Engineering Lot</t>
  </si>
  <si>
    <t xml:space="preserve">cmpo:EnvironmentalParameter</t>
  </si>
  <si>
    <t xml:space="preserve">Environmental Parameter</t>
  </si>
  <si>
    <t xml:space="preserve">cmpo:Equipment</t>
  </si>
  <si>
    <t xml:space="preserve">Equipment</t>
  </si>
  <si>
    <t xml:space="preserve">cmpo:Erosion</t>
  </si>
  <si>
    <t xml:space="preserve">Erosion</t>
  </si>
  <si>
    <t xml:space="preserve">cmpo:FTRTool</t>
  </si>
  <si>
    <t xml:space="preserve">FTR Tool</t>
  </si>
  <si>
    <t xml:space="preserve">cmpo:FilmThickness</t>
  </si>
  <si>
    <t xml:space="preserve">Film Thickness</t>
  </si>
  <si>
    <t xml:space="preserve">cmpo:FinePolishing</t>
  </si>
  <si>
    <t xml:space="preserve">Fine Polishing</t>
  </si>
  <si>
    <t xml:space="preserve">cmpo:FrontSide</t>
  </si>
  <si>
    <t xml:space="preserve">Front Side</t>
  </si>
  <si>
    <t xml:space="preserve">cmpo:GroovePattern</t>
  </si>
  <si>
    <t xml:space="preserve">Groove Pattern</t>
  </si>
  <si>
    <t xml:space="preserve">cmpo:ImpedanceEPD</t>
  </si>
  <si>
    <t xml:space="preserve">Impedance EPD</t>
  </si>
  <si>
    <t xml:space="preserve">cmpo:Inhibitor</t>
  </si>
  <si>
    <t xml:space="preserve">Corrosion Inhibitor</t>
  </si>
  <si>
    <t xml:space="preserve">cmpo:IonicStrength</t>
  </si>
  <si>
    <t xml:space="preserve">Ionic Strength</t>
  </si>
  <si>
    <t xml:space="preserve">cmpo:Layer</t>
  </si>
  <si>
    <t xml:space="preserve">Layer</t>
  </si>
  <si>
    <t xml:space="preserve">cmpo:LinearCMPTool</t>
  </si>
  <si>
    <t xml:space="preserve">Linear CMP Tool</t>
  </si>
  <si>
    <t xml:space="preserve">cmpo:LinearMotion</t>
  </si>
  <si>
    <t xml:space="preserve">Linear Motion</t>
  </si>
  <si>
    <t xml:space="preserve">cmpo:Lot</t>
  </si>
  <si>
    <t xml:space="preserve">Wafer Lot</t>
  </si>
  <si>
    <t xml:space="preserve">cmpo:LotType</t>
  </si>
  <si>
    <t xml:space="preserve">Lot Type</t>
  </si>
  <si>
    <t xml:space="preserve">cmpo:MainOuterAirBagPressure</t>
  </si>
  <si>
    <t xml:space="preserve">Main Outer Air Bag Pressure</t>
  </si>
  <si>
    <t xml:space="preserve">cmpo:MainOuterAirBagZone</t>
  </si>
  <si>
    <t xml:space="preserve">Main Outer Air Bag Zone</t>
  </si>
  <si>
    <t xml:space="preserve">cmpo:Material</t>
  </si>
  <si>
    <t xml:space="preserve">Material</t>
  </si>
  <si>
    <t xml:space="preserve">cmpo:MaterialRemovalRate</t>
  </si>
  <si>
    <t xml:space="preserve">Material Removal Rate</t>
  </si>
  <si>
    <t xml:space="preserve">cmpo:MaterialSelectivity</t>
  </si>
  <si>
    <t xml:space="preserve">Material Selectivity</t>
  </si>
  <si>
    <t xml:space="preserve">cmpo:Membrane</t>
  </si>
  <si>
    <t xml:space="preserve">Membrane</t>
  </si>
  <si>
    <t xml:space="preserve">cmpo:MembraneUsage</t>
  </si>
  <si>
    <t xml:space="preserve">Membrane Usage</t>
  </si>
  <si>
    <t xml:space="preserve">cmpo:MembraneZone</t>
  </si>
  <si>
    <t xml:space="preserve">Membrane Zone</t>
  </si>
  <si>
    <t xml:space="preserve">cmpo:MetrologyTool</t>
  </si>
  <si>
    <t xml:space="preserve">Metrology Tool</t>
  </si>
  <si>
    <t xml:space="preserve">cmpo:MotionProfile</t>
  </si>
  <si>
    <t xml:space="preserve">Motion Profile</t>
  </si>
  <si>
    <t xml:space="preserve">cmpo:MotorCurrentEPD</t>
  </si>
  <si>
    <t xml:space="preserve">Motor Current EPD</t>
  </si>
  <si>
    <t xml:space="preserve">cmpo:OpticalEPD</t>
  </si>
  <si>
    <t xml:space="preserve">Optical EPD</t>
  </si>
  <si>
    <t xml:space="preserve">cmpo:OrbitalCMPTool</t>
  </si>
  <si>
    <t xml:space="preserve">Orbital CMP Tool</t>
  </si>
  <si>
    <t xml:space="preserve">cmpo:OrbitalMotion</t>
  </si>
  <si>
    <t xml:space="preserve">Orbital Motion</t>
  </si>
  <si>
    <t xml:space="preserve">cmpo:Overpolish</t>
  </si>
  <si>
    <t xml:space="preserve">Overpolish</t>
  </si>
  <si>
    <t xml:space="preserve">cmpo:Oxidizer</t>
  </si>
  <si>
    <t xml:space="preserve">Oxidizer</t>
  </si>
  <si>
    <t xml:space="preserve">cmpo:PadTemperature</t>
  </si>
  <si>
    <t xml:space="preserve">Pad Temperature</t>
  </si>
  <si>
    <t xml:space="preserve">cmpo:ParticleConcentration</t>
  </si>
  <si>
    <t xml:space="preserve">Particle Concentration</t>
  </si>
  <si>
    <t xml:space="preserve">cmpo:PerforatedPad</t>
  </si>
  <si>
    <t xml:space="preserve">Perforated Pad</t>
  </si>
  <si>
    <t xml:space="preserve">cmpo:Platen</t>
  </si>
  <si>
    <t xml:space="preserve">Platen</t>
  </si>
  <si>
    <t xml:space="preserve">cmpo:PlatenRotationSpeed</t>
  </si>
  <si>
    <t xml:space="preserve">Platen Rotation Speed</t>
  </si>
  <si>
    <t xml:space="preserve">cmpo:PolishingMode</t>
  </si>
  <si>
    <t xml:space="preserve">Polishing Mode</t>
  </si>
  <si>
    <t xml:space="preserve">cmpo:PolishingPad</t>
  </si>
  <si>
    <t xml:space="preserve">Polishing Pad</t>
  </si>
  <si>
    <t xml:space="preserve">cmpo:PolishingStep</t>
  </si>
  <si>
    <t xml:space="preserve">Polishing Step</t>
  </si>
  <si>
    <t xml:space="preserve">cmpo:PolishingTableUsage</t>
  </si>
  <si>
    <t xml:space="preserve">Polishing Table Usage</t>
  </si>
  <si>
    <t xml:space="preserve">cmpo:PostCMPCleaning</t>
  </si>
  <si>
    <t xml:space="preserve">Post-CMP Cleaning</t>
  </si>
  <si>
    <t xml:space="preserve">cmpo:Pressure</t>
  </si>
  <si>
    <t xml:space="preserve">Pressure</t>
  </si>
  <si>
    <t xml:space="preserve">cmpo:PressureZone</t>
  </si>
  <si>
    <t xml:space="preserve">Pressure Zone</t>
  </si>
  <si>
    <t xml:space="preserve">cmpo:PressurizedChamberPressure</t>
  </si>
  <si>
    <t xml:space="preserve">Pressurized Chamber Pressure</t>
  </si>
  <si>
    <t xml:space="preserve">cmpo:PressurizedSheet</t>
  </si>
  <si>
    <t xml:space="preserve">Pressurized Sheet</t>
  </si>
  <si>
    <t xml:space="preserve">cmpo:PressurizedSheetUsage</t>
  </si>
  <si>
    <t xml:space="preserve">Pressurized Sheet Usage</t>
  </si>
  <si>
    <t xml:space="preserve">cmpo:PrestonModel</t>
  </si>
  <si>
    <t xml:space="preserve">Preston Model</t>
  </si>
  <si>
    <t xml:space="preserve">cmpo:PrimaryFlat</t>
  </si>
  <si>
    <t xml:space="preserve">Primary Flat</t>
  </si>
  <si>
    <t xml:space="preserve">cmpo:ProcessCard</t>
  </si>
  <si>
    <t xml:space="preserve">Process Card</t>
  </si>
  <si>
    <t xml:space="preserve">cmpo:ProcessOwner</t>
  </si>
  <si>
    <t xml:space="preserve">Process Owner</t>
  </si>
  <si>
    <t xml:space="preserve">cmpo:ProcessWindow</t>
  </si>
  <si>
    <t xml:space="preserve">Process Window</t>
  </si>
  <si>
    <t xml:space="preserve">cmpo:ProductionLot</t>
  </si>
  <si>
    <t xml:space="preserve">Production Lot</t>
  </si>
  <si>
    <t xml:space="preserve">cmpo:ProfilometerTool</t>
  </si>
  <si>
    <t xml:space="preserve">Profilometer</t>
  </si>
  <si>
    <t xml:space="preserve">cmpo:Project</t>
  </si>
  <si>
    <t xml:space="preserve">Project</t>
  </si>
  <si>
    <t xml:space="preserve">cmpo:ProjectOwner</t>
  </si>
  <si>
    <t xml:space="preserve">Project Owner</t>
  </si>
  <si>
    <t xml:space="preserve">cmpo:QualificationLot</t>
  </si>
  <si>
    <t xml:space="preserve">Qualification Lot</t>
  </si>
  <si>
    <t xml:space="preserve">cmpo:Recipe</t>
  </si>
  <si>
    <t xml:space="preserve">Recipe</t>
  </si>
  <si>
    <t xml:space="preserve">cmpo:RelativeVelocity</t>
  </si>
  <si>
    <t xml:space="preserve">Relative Velocity</t>
  </si>
  <si>
    <t xml:space="preserve">cmpo:RetainingRing</t>
  </si>
  <si>
    <t xml:space="preserve">Retaining Ring</t>
  </si>
  <si>
    <t xml:space="preserve">cmpo:RetainingRingPressure</t>
  </si>
  <si>
    <t xml:space="preserve">Retaining Ring Pressure</t>
  </si>
  <si>
    <t xml:space="preserve">cmpo:RetainingRingZone</t>
  </si>
  <si>
    <t xml:space="preserve">Retaining Ring Zone</t>
  </si>
  <si>
    <t xml:space="preserve">cmpo:RippleAirBagPressure</t>
  </si>
  <si>
    <t xml:space="preserve">Ripple Air Bag Pressure</t>
  </si>
  <si>
    <t xml:space="preserve">cmpo:RippleAirBagZone</t>
  </si>
  <si>
    <t xml:space="preserve">Ripple Air Bag Zone</t>
  </si>
  <si>
    <t xml:space="preserve">cmpo:Role</t>
  </si>
  <si>
    <t xml:space="preserve">Role</t>
  </si>
  <si>
    <t xml:space="preserve">cmpo:RotaryCMPTool</t>
  </si>
  <si>
    <t xml:space="preserve">Rotary CMP Tool</t>
  </si>
  <si>
    <t xml:space="preserve">cmpo:RunToRunControl</t>
  </si>
  <si>
    <t xml:space="preserve">Run-to-Run Control</t>
  </si>
  <si>
    <t xml:space="preserve">cmpo:SEMTool</t>
  </si>
  <si>
    <t xml:space="preserve">SEM Tool</t>
  </si>
  <si>
    <t xml:space="preserve">cmpo:SPCLimit</t>
  </si>
  <si>
    <t xml:space="preserve">SPC Limit</t>
  </si>
  <si>
    <t xml:space="preserve">cmpo:Scratch</t>
  </si>
  <si>
    <t xml:space="preserve">Scratch</t>
  </si>
  <si>
    <t xml:space="preserve">cmpo:Service</t>
  </si>
  <si>
    <t xml:space="preserve">Service</t>
  </si>
  <si>
    <t xml:space="preserve">cmpo:SetPoint</t>
  </si>
  <si>
    <t xml:space="preserve">Set Point</t>
  </si>
  <si>
    <t xml:space="preserve">cmpo:SilicaAbrasive</t>
  </si>
  <si>
    <t xml:space="preserve">Silica Abrasive</t>
  </si>
  <si>
    <t xml:space="preserve">cmpo:Slurry</t>
  </si>
  <si>
    <t xml:space="preserve">Slurry</t>
  </si>
  <si>
    <t xml:space="preserve">cmpo:SlurryChemistry</t>
  </si>
  <si>
    <t xml:space="preserve">Slurry Chemistry</t>
  </si>
  <si>
    <t xml:space="preserve">cmpo:SlurryChemistryParameter</t>
  </si>
  <si>
    <t xml:space="preserve">Slurry Chemistry Parameter</t>
  </si>
  <si>
    <t xml:space="preserve">cmpo:SlurryFlowLineA</t>
  </si>
  <si>
    <t xml:space="preserve">Slurry Flow Line A</t>
  </si>
  <si>
    <t xml:space="preserve">cmpo:SlurryFlowLineB</t>
  </si>
  <si>
    <t xml:space="preserve">Slurry Flow Line B</t>
  </si>
  <si>
    <t xml:space="preserve">cmpo:SlurryFlowLineC</t>
  </si>
  <si>
    <t xml:space="preserve">Slurry Flow Line C</t>
  </si>
  <si>
    <t xml:space="preserve">cmpo:SlurryFlowRate</t>
  </si>
  <si>
    <t xml:space="preserve">Slurry Flow Rate</t>
  </si>
  <si>
    <t xml:space="preserve">cmpo:SlurryPH</t>
  </si>
  <si>
    <t xml:space="preserve">Slurry pH</t>
  </si>
  <si>
    <t xml:space="preserve">cmpo:SlurryPipe</t>
  </si>
  <si>
    <t xml:space="preserve">Slurry Pipe</t>
  </si>
  <si>
    <t xml:space="preserve">cmpo:SlurryViscosity</t>
  </si>
  <si>
    <t xml:space="preserve">Slurry Viscosity</t>
  </si>
  <si>
    <t xml:space="preserve">cmpo:SolidContent</t>
  </si>
  <si>
    <t xml:space="preserve">Solid Content</t>
  </si>
  <si>
    <t xml:space="preserve">cmpo:SpiralGroove</t>
  </si>
  <si>
    <t xml:space="preserve">Spiral Groove</t>
  </si>
  <si>
    <t xml:space="preserve">cmpo:StructuredWafer</t>
  </si>
  <si>
    <t xml:space="preserve">Structured Wafer</t>
  </si>
  <si>
    <t xml:space="preserve">cmpo:SurfaceRoughness</t>
  </si>
  <si>
    <t xml:space="preserve">Surface Roughness</t>
  </si>
  <si>
    <t xml:space="preserve">cmpo:Surfactant</t>
  </si>
  <si>
    <t xml:space="preserve">Surfactant</t>
  </si>
  <si>
    <t xml:space="preserve">cmpo:Temperature</t>
  </si>
  <si>
    <t xml:space="preserve">Temperature</t>
  </si>
  <si>
    <t xml:space="preserve">cmpo:Tool</t>
  </si>
  <si>
    <t xml:space="preserve">Tool</t>
  </si>
  <si>
    <t xml:space="preserve">cmpo:ToolComponent</t>
  </si>
  <si>
    <t xml:space="preserve">Tool Component</t>
  </si>
  <si>
    <t xml:space="preserve">cmpo:ToolQualification</t>
  </si>
  <si>
    <t xml:space="preserve">Tool Qualification</t>
  </si>
  <si>
    <t xml:space="preserve">cmpo:Underpolish</t>
  </si>
  <si>
    <t xml:space="preserve">Underpolish</t>
  </si>
  <si>
    <t xml:space="preserve">cmpo:Unit</t>
  </si>
  <si>
    <t xml:space="preserve">Unit</t>
  </si>
  <si>
    <t xml:space="preserve">SCHEMA</t>
  </si>
  <si>
    <t xml:space="preserve">unit individuals declared in cmpo-v2.0.ttl</t>
  </si>
  <si>
    <t xml:space="preserve">cmpo:UsageParameter</t>
  </si>
  <si>
    <t xml:space="preserve">Usage Parameter</t>
  </si>
  <si>
    <t xml:space="preserve">cmpo:UsageTracking</t>
  </si>
  <si>
    <t xml:space="preserve">Usage Tracking</t>
  </si>
  <si>
    <t xml:space="preserve">cmpo:VNotch</t>
  </si>
  <si>
    <t xml:space="preserve">V-Notch</t>
  </si>
  <si>
    <t xml:space="preserve">cmpo:Velocity</t>
  </si>
  <si>
    <t xml:space="preserve">Velocity</t>
  </si>
  <si>
    <t xml:space="preserve">cmpo:Wafer</t>
  </si>
  <si>
    <t xml:space="preserve">Wafer</t>
  </si>
  <si>
    <t xml:space="preserve">cmpo:WaferNotch</t>
  </si>
  <si>
    <t xml:space="preserve">Wafer Notch</t>
  </si>
  <si>
    <t xml:space="preserve">cmpo:WaferQualityParameter</t>
  </si>
  <si>
    <t xml:space="preserve">Wafer Quality Parameter</t>
  </si>
  <si>
    <t xml:space="preserve">cmpo:WaferRotationSpeed</t>
  </si>
  <si>
    <t xml:space="preserve">Wafer Rotation Speed</t>
  </si>
  <si>
    <t xml:space="preserve">cmpo:WaferSide</t>
  </si>
  <si>
    <t xml:space="preserve">Wafer Side</t>
  </si>
  <si>
    <t xml:space="preserve">cmpo:WaferState</t>
  </si>
  <si>
    <t xml:space="preserve">Wafer State</t>
  </si>
  <si>
    <t xml:space="preserve">cmpo:WaferStatus</t>
  </si>
  <si>
    <t xml:space="preserve">Wafer Status</t>
  </si>
  <si>
    <t xml:space="preserve">DOC-ONLY</t>
  </si>
  <si>
    <t xml:space="preserve">code-list documentation class; encoding lives in cmpo:hasStatus strings</t>
  </si>
  <si>
    <t xml:space="preserve">cmpo:WaferToWaferUniformity</t>
  </si>
  <si>
    <t xml:space="preserve">Wafer-to-Wafer Uniformity</t>
  </si>
  <si>
    <t xml:space="preserve">cmpo:WithinWaferNonUniformity</t>
  </si>
  <si>
    <t xml:space="preserve">Within-Wafer Non-Uniformity</t>
  </si>
  <si>
    <t xml:space="preserve">cmpo:XYGroove</t>
  </si>
  <si>
    <t xml:space="preserve">XY Groove</t>
  </si>
  <si>
    <t xml:space="preserve">cmpo:ZetaPotential</t>
  </si>
  <si>
    <t xml:space="preserve">Zeta Potential</t>
  </si>
  <si>
    <t xml:space="preserve">cmpo_property</t>
  </si>
  <si>
    <t xml:space="preserve">kind</t>
  </si>
  <si>
    <t xml:space="preserve">cmpo:actualRemovalAmount</t>
  </si>
  <si>
    <t xml:space="preserve">actual removal amount</t>
  </si>
  <si>
    <t xml:space="preserve">datatype</t>
  </si>
  <si>
    <t xml:space="preserve">cmpo:additiveConcentration</t>
  </si>
  <si>
    <t xml:space="preserve">additive concentration</t>
  </si>
  <si>
    <t xml:space="preserve">cmpo:agentName</t>
  </si>
  <si>
    <t xml:space="preserve">agent name</t>
  </si>
  <si>
    <t xml:space="preserve">cmpo:belongsToProject</t>
  </si>
  <si>
    <t xml:space="preserve">belongs to project</t>
  </si>
  <si>
    <t xml:space="preserve">object</t>
  </si>
  <si>
    <t xml:space="preserve">cmpo:canonicalUnit</t>
  </si>
  <si>
    <t xml:space="preserve">canonical unit</t>
  </si>
  <si>
    <t xml:space="preserve">asserted in cmpo-v2.0.ttl itself (canonical units)</t>
  </si>
  <si>
    <t xml:space="preserve">cmpo:chamberNumber</t>
  </si>
  <si>
    <t xml:space="preserve">chamber number</t>
  </si>
  <si>
    <t xml:space="preserve">cmpo:cleaningDuration</t>
  </si>
  <si>
    <t xml:space="preserve">cleaning duration</t>
  </si>
  <si>
    <t xml:space="preserve">cmpo:cleaningTemperature</t>
  </si>
  <si>
    <t xml:space="preserve">cleaning temperature</t>
  </si>
  <si>
    <t xml:space="preserve">cmpo:conditioningMode</t>
  </si>
  <si>
    <t xml:space="preserve">conditioning mode</t>
  </si>
  <si>
    <t xml:space="preserve">cmpo:conditionsPad</t>
  </si>
  <si>
    <t xml:space="preserve">conditions pad</t>
  </si>
  <si>
    <t xml:space="preserve">cmpo:defectArea</t>
  </si>
  <si>
    <t xml:space="preserve">defect area</t>
  </si>
  <si>
    <t xml:space="preserve">cmpo:derivationFormula</t>
  </si>
  <si>
    <t xml:space="preserve">derivation formula</t>
  </si>
  <si>
    <t xml:space="preserve">cmpo:diameter</t>
  </si>
  <si>
    <t xml:space="preserve">diameter</t>
  </si>
  <si>
    <t xml:space="preserve">cmpo:discDiamondGrade</t>
  </si>
  <si>
    <t xml:space="preserve">disc diamond grade</t>
  </si>
  <si>
    <t xml:space="preserve">cmpo:duringStep</t>
  </si>
  <si>
    <t xml:space="preserve">during step</t>
  </si>
  <si>
    <t xml:space="preserve">cmpo:dwellTime</t>
  </si>
  <si>
    <t xml:space="preserve">dwell time</t>
  </si>
  <si>
    <t xml:space="preserve">cmpo:edgeExclusion</t>
  </si>
  <si>
    <t xml:space="preserve">edge exclusion</t>
  </si>
  <si>
    <t xml:space="preserve">cmpo:epdThreshold</t>
  </si>
  <si>
    <t xml:space="preserve">EPD threshold</t>
  </si>
  <si>
    <t xml:space="preserve">cmpo:executedOn</t>
  </si>
  <si>
    <t xml:space="preserve">executed on</t>
  </si>
  <si>
    <t xml:space="preserve">cmpo:grooveDepth</t>
  </si>
  <si>
    <t xml:space="preserve">groove depth</t>
  </si>
  <si>
    <t xml:space="preserve">cmpo:grooveWidth</t>
  </si>
  <si>
    <t xml:space="preserve">groove width</t>
  </si>
  <si>
    <t xml:space="preserve">cmpo:hasAbrasiveType</t>
  </si>
  <si>
    <t xml:space="preserve">has abrasive type</t>
  </si>
  <si>
    <t xml:space="preserve">cmpo:hasAdditive</t>
  </si>
  <si>
    <t xml:space="preserve">has additive</t>
  </si>
  <si>
    <t xml:space="preserve">cmpo:hasChemistry</t>
  </si>
  <si>
    <t xml:space="preserve">has chemistry</t>
  </si>
  <si>
    <t xml:space="preserve">cmpo:hasCleaningStep</t>
  </si>
  <si>
    <t xml:space="preserve">has cleaning step</t>
  </si>
  <si>
    <t xml:space="preserve">cmpo:hasConditionerDisc</t>
  </si>
  <si>
    <t xml:space="preserve">has conditioner disc</t>
  </si>
  <si>
    <t xml:space="preserve">cmpo:hasDefectType</t>
  </si>
  <si>
    <t xml:space="preserve">has defect type</t>
  </si>
  <si>
    <t xml:space="preserve">cmpo:hasFeedbackParameter</t>
  </si>
  <si>
    <t xml:space="preserve">has feedback parameter</t>
  </si>
  <si>
    <t xml:space="preserve">cmpo:hasFeedforwardParameter</t>
  </si>
  <si>
    <t xml:space="preserve">has feedforward parameter</t>
  </si>
  <si>
    <t xml:space="preserve">cmpo:hasGroovePattern</t>
  </si>
  <si>
    <t xml:space="preserve">has groove pattern</t>
  </si>
  <si>
    <t xml:space="preserve">cmpo:hasIndexValue</t>
  </si>
  <si>
    <t xml:space="preserve">has index value</t>
  </si>
  <si>
    <t xml:space="preserve">cmpo:hasInput</t>
  </si>
  <si>
    <t xml:space="preserve">has input</t>
  </si>
  <si>
    <t xml:space="preserve">cmpo:hasLayer</t>
  </si>
  <si>
    <t xml:space="preserve">has layer</t>
  </si>
  <si>
    <t xml:space="preserve">cmpo:hasLifetime</t>
  </si>
  <si>
    <t xml:space="preserve">has lifetime</t>
  </si>
  <si>
    <t xml:space="preserve">cmpo:hasLotNumber</t>
  </si>
  <si>
    <t xml:space="preserve">has lot number</t>
  </si>
  <si>
    <t xml:space="preserve">cmpo:hasLotType</t>
  </si>
  <si>
    <t xml:space="preserve">has lot type</t>
  </si>
  <si>
    <t xml:space="preserve">cmpo:hasMaterial</t>
  </si>
  <si>
    <t xml:space="preserve">has material</t>
  </si>
  <si>
    <t xml:space="preserve">cmpo:hasMaterialName</t>
  </si>
  <si>
    <t xml:space="preserve">has material name</t>
  </si>
  <si>
    <t xml:space="preserve">cmpo:hasMotionProfile</t>
  </si>
  <si>
    <t xml:space="preserve">has motion profile</t>
  </si>
  <si>
    <t xml:space="preserve">cmpo:hasNextStep</t>
  </si>
  <si>
    <t xml:space="preserve">has next step</t>
  </si>
  <si>
    <t xml:space="preserve">cmpo:hasNotch</t>
  </si>
  <si>
    <t xml:space="preserve">has notch</t>
  </si>
  <si>
    <t xml:space="preserve">cmpo:hasOrientation</t>
  </si>
  <si>
    <t xml:space="preserve">has orientation</t>
  </si>
  <si>
    <t xml:space="preserve">cmpo:hasOutput</t>
  </si>
  <si>
    <t xml:space="preserve">has output</t>
  </si>
  <si>
    <t xml:space="preserve">cmpo:hasPolishingMode</t>
  </si>
  <si>
    <t xml:space="preserve">has polishing mode</t>
  </si>
  <si>
    <t xml:space="preserve">cmpo:hasPolishingPad</t>
  </si>
  <si>
    <t xml:space="preserve">has polishing pad</t>
  </si>
  <si>
    <t xml:space="preserve">cmpo:hasPressureZone</t>
  </si>
  <si>
    <t xml:space="preserve">has pressure zone</t>
  </si>
  <si>
    <t xml:space="preserve">cmpo:hasProcessWindow</t>
  </si>
  <si>
    <t xml:space="preserve">has process window</t>
  </si>
  <si>
    <t xml:space="preserve">cmpo:hasProjectName</t>
  </si>
  <si>
    <t xml:space="preserve">has project name</t>
  </si>
  <si>
    <t xml:space="preserve">cmpo:hasRole</t>
  </si>
  <si>
    <t xml:space="preserve">has role</t>
  </si>
  <si>
    <t xml:space="preserve">cmpo:hasSPCLimit</t>
  </si>
  <si>
    <t xml:space="preserve">has SPC limit</t>
  </si>
  <si>
    <t xml:space="preserve">cmpo:hasSelectivity</t>
  </si>
  <si>
    <t xml:space="preserve">has selectivity</t>
  </si>
  <si>
    <t xml:space="preserve">cmpo:hasSetPointInstruction</t>
  </si>
  <si>
    <t xml:space="preserve">has set-point instruction</t>
  </si>
  <si>
    <t xml:space="preserve">cmpo:hasStatus</t>
  </si>
  <si>
    <t xml:space="preserve">has status</t>
  </si>
  <si>
    <t xml:space="preserve">cmpo:hasSubstrate</t>
  </si>
  <si>
    <t xml:space="preserve">has substrate</t>
  </si>
  <si>
    <t xml:space="preserve">cmpo:hasToolComponent</t>
  </si>
  <si>
    <t xml:space="preserve">has tool component</t>
  </si>
  <si>
    <t xml:space="preserve">cmpo:hasToolType</t>
  </si>
  <si>
    <t xml:space="preserve">has tool type</t>
  </si>
  <si>
    <t xml:space="preserve">cmpo:hasWaferId</t>
  </si>
  <si>
    <t xml:space="preserve">has wafer ID</t>
  </si>
  <si>
    <t xml:space="preserve">cmpo:isDeliveredBy</t>
  </si>
  <si>
    <t xml:space="preserve">is delivered by</t>
  </si>
  <si>
    <t xml:space="preserve">cmpo:isMountedOn</t>
  </si>
  <si>
    <t xml:space="preserve">is mounted on</t>
  </si>
  <si>
    <t xml:space="preserve">cmpo:isPartOfLot</t>
  </si>
  <si>
    <t xml:space="preserve">is part of lot</t>
  </si>
  <si>
    <t xml:space="preserve">cmpo:isSpecifiedBy</t>
  </si>
  <si>
    <t xml:space="preserve">is specified by</t>
  </si>
  <si>
    <t xml:space="preserve">cmpo:isStateOf</t>
  </si>
  <si>
    <t xml:space="preserve">is state of</t>
  </si>
  <si>
    <t xml:space="preserve">cmpo:lotSize</t>
  </si>
  <si>
    <t xml:space="preserve">lot size</t>
  </si>
  <si>
    <t xml:space="preserve">cmpo:lowerControlLimit</t>
  </si>
  <si>
    <t xml:space="preserve">lower control limit</t>
  </si>
  <si>
    <t xml:space="preserve">cmpo:lowerSpecLimit</t>
  </si>
  <si>
    <t xml:space="preserve">lower specification limit</t>
  </si>
  <si>
    <t xml:space="preserve">cmpo:machineDataId</t>
  </si>
  <si>
    <t xml:space="preserve">machine data ID</t>
  </si>
  <si>
    <t xml:space="preserve">cmpo:orientationPlane</t>
  </si>
  <si>
    <t xml:space="preserve">orientation plane</t>
  </si>
  <si>
    <t xml:space="preserve">cmpo:padCompressibility</t>
  </si>
  <si>
    <t xml:space="preserve">pad compressibility</t>
  </si>
  <si>
    <t xml:space="preserve">cmpo:padHardness</t>
  </si>
  <si>
    <t xml:space="preserve">pad hardness</t>
  </si>
  <si>
    <t xml:space="preserve">cmpo:padLifetimeMinutes</t>
  </si>
  <si>
    <t xml:space="preserve">pad lifetime minutes</t>
  </si>
  <si>
    <t xml:space="preserve">cmpo:padLifetimeWaferCount</t>
  </si>
  <si>
    <t xml:space="preserve">pad lifetime wafer count</t>
  </si>
  <si>
    <t xml:space="preserve">cmpo:padType</t>
  </si>
  <si>
    <t xml:space="preserve">pad type</t>
  </si>
  <si>
    <t xml:space="preserve">cmpo:partOfService</t>
  </si>
  <si>
    <t xml:space="preserve">part of service</t>
  </si>
  <si>
    <t xml:space="preserve">cmpo:polishingDuration</t>
  </si>
  <si>
    <t xml:space="preserve">polishing duration</t>
  </si>
  <si>
    <t xml:space="preserve">cmpo:polishingEndTime</t>
  </si>
  <si>
    <t xml:space="preserve">polishing end time</t>
  </si>
  <si>
    <t xml:space="preserve">cmpo:polishingStartTime</t>
  </si>
  <si>
    <t xml:space="preserve">polishing start time</t>
  </si>
  <si>
    <t xml:space="preserve">cmpo:prestonCoefficient</t>
  </si>
  <si>
    <t xml:space="preserve">Preston coefficient</t>
  </si>
  <si>
    <t xml:space="preserve">cmpo:primaryMaterial</t>
  </si>
  <si>
    <t xml:space="preserve">primary material</t>
  </si>
  <si>
    <t xml:space="preserve">cmpo:qualificationStatus</t>
  </si>
  <si>
    <t xml:space="preserve">qualification status</t>
  </si>
  <si>
    <t xml:space="preserve">cmpo:rawTimestamp</t>
  </si>
  <si>
    <t xml:space="preserve">raw timestamp</t>
  </si>
  <si>
    <t xml:space="preserve">cmpo:responsibleFor</t>
  </si>
  <si>
    <t xml:space="preserve">responsible for</t>
  </si>
  <si>
    <t xml:space="preserve">cmpo:runsOnPlaten</t>
  </si>
  <si>
    <t xml:space="preserve">runs on platen</t>
  </si>
  <si>
    <t xml:space="preserve">cmpo:seasoningDate</t>
  </si>
  <si>
    <t xml:space="preserve">seasoning date</t>
  </si>
  <si>
    <t xml:space="preserve">cmpo:secondaryMaterial</t>
  </si>
  <si>
    <t xml:space="preserve">secondary material</t>
  </si>
  <si>
    <t xml:space="preserve">cmpo:selectivityRatio</t>
  </si>
  <si>
    <t xml:space="preserve">selectivity ratio</t>
  </si>
  <si>
    <t xml:space="preserve">cmpo:setPointOf</t>
  </si>
  <si>
    <t xml:space="preserve">set-point of</t>
  </si>
  <si>
    <t xml:space="preserve">cmpo:setPointValue</t>
  </si>
  <si>
    <t xml:space="preserve">set-point value</t>
  </si>
  <si>
    <t xml:space="preserve">cmpo:slurryBatch</t>
  </si>
  <si>
    <t xml:space="preserve">slurry batch</t>
  </si>
  <si>
    <t xml:space="preserve">cmpo:slurryDilutionRatio</t>
  </si>
  <si>
    <t xml:space="preserve">slurry dilution ratio</t>
  </si>
  <si>
    <t xml:space="preserve">cmpo:slurryName</t>
  </si>
  <si>
    <t xml:space="preserve">slurry name</t>
  </si>
  <si>
    <t xml:space="preserve">cmpo:spcTargetValue</t>
  </si>
  <si>
    <t xml:space="preserve">SPC target value</t>
  </si>
  <si>
    <t xml:space="preserve">cmpo:stageLabel</t>
  </si>
  <si>
    <t xml:space="preserve">stage label</t>
  </si>
  <si>
    <t xml:space="preserve">cmpo:stepIndex</t>
  </si>
  <si>
    <t xml:space="preserve">step index</t>
  </si>
  <si>
    <t xml:space="preserve">cmpo:targetLayerThickness</t>
  </si>
  <si>
    <t xml:space="preserve">target layer thickness</t>
  </si>
  <si>
    <t xml:space="preserve">cmpo:targetRemovalAmount</t>
  </si>
  <si>
    <t xml:space="preserve">target removal amount</t>
  </si>
  <si>
    <t xml:space="preserve">cmpo:targetUniformity</t>
  </si>
  <si>
    <t xml:space="preserve">target uniformity</t>
  </si>
  <si>
    <t xml:space="preserve">cmpo:targetsSide</t>
  </si>
  <si>
    <t xml:space="preserve">targets side</t>
  </si>
  <si>
    <t xml:space="preserve">cmpo:thickness</t>
  </si>
  <si>
    <t xml:space="preserve">thickness</t>
  </si>
  <si>
    <t xml:space="preserve">cmpo:toolId</t>
  </si>
  <si>
    <t xml:space="preserve">tool ID</t>
  </si>
  <si>
    <t xml:space="preserve">cmpo:tracksComponent</t>
  </si>
  <si>
    <t xml:space="preserve">tracks component</t>
  </si>
  <si>
    <t xml:space="preserve">cmpo:undergoesQualification</t>
  </si>
  <si>
    <t xml:space="preserve">undergoes qualification</t>
  </si>
  <si>
    <t xml:space="preserve">cmpo:uniformityTolerance</t>
  </si>
  <si>
    <t xml:space="preserve">uniformity tolerance</t>
  </si>
  <si>
    <t xml:space="preserve">cmpo:upperControlLimit</t>
  </si>
  <si>
    <t xml:space="preserve">upper control limit</t>
  </si>
  <si>
    <t xml:space="preserve">cmpo:upperSpecLimit</t>
  </si>
  <si>
    <t xml:space="preserve">upper specification limit</t>
  </si>
  <si>
    <t xml:space="preserve">cmpo:usageCount</t>
  </si>
  <si>
    <t xml:space="preserve">usage count</t>
  </si>
  <si>
    <t xml:space="preserve">cmpo:usageId</t>
  </si>
  <si>
    <t xml:space="preserve">usage ID</t>
  </si>
  <si>
    <t xml:space="preserve">cmpo:usageTime</t>
  </si>
  <si>
    <t xml:space="preserve">usage time</t>
  </si>
  <si>
    <t xml:space="preserve">cmpo:usageType</t>
  </si>
  <si>
    <t xml:space="preserve">usage type</t>
  </si>
  <si>
    <t xml:space="preserve">cmpo:usedSlurry</t>
  </si>
  <si>
    <t xml:space="preserve">used slurry</t>
  </si>
  <si>
    <t xml:space="preserve">cmpo:usesEPDMethod</t>
  </si>
  <si>
    <t xml:space="preserve">uses EPD method</t>
  </si>
  <si>
    <t xml:space="preserve">cmpo:usesPrestonModel</t>
  </si>
  <si>
    <t xml:space="preserve">uses Preston model</t>
  </si>
  <si>
    <t xml:space="preserve">cmpo:usesRTRControl</t>
  </si>
  <si>
    <t xml:space="preserve">uses run-to-run control</t>
  </si>
  <si>
    <t xml:space="preserve">cmpo:usesRecipe</t>
  </si>
  <si>
    <t xml:space="preserve">uses recipe</t>
  </si>
  <si>
    <t xml:space="preserve">cmpo:windowMaxValue</t>
  </si>
  <si>
    <t xml:space="preserve">window maximum value</t>
  </si>
  <si>
    <t xml:space="preserve">cmpo:windowMinValue</t>
  </si>
  <si>
    <t xml:space="preserve">window minimum value</t>
  </si>
  <si>
    <t xml:space="preserve">cmpo:zonePosition</t>
  </si>
  <si>
    <t xml:space="preserve">zone position</t>
  </si>
  <si>
    <t xml:space="preserve">provenance</t>
  </si>
  <si>
    <t xml:space="preserve">obs_id</t>
  </si>
  <si>
    <t xml:space="preserve">sosa:observedProperty</t>
  </si>
  <si>
    <t xml:space="preserve">sosa:hasFeatureOfInterest</t>
  </si>
  <si>
    <t xml:space="preserve">platform/sensor link</t>
  </si>
  <si>
    <t xml:space="preserve">link target</t>
  </si>
  <si>
    <t xml:space="preserve">sosa:hasSimpleResult</t>
  </si>
  <si>
    <t xml:space="preserve">unit</t>
  </si>
  <si>
    <t xml:space="preserve">cmpo unit</t>
  </si>
  <si>
    <t xml:space="preserve">sosa:resultTime</t>
  </si>
  <si>
    <t xml:space="preserve">rationale</t>
  </si>
  <si>
    <t xml:space="preserve">synthetic</t>
  </si>
  <si>
    <t xml:space="preserve">syn_obs_001</t>
  </si>
  <si>
    <t xml:space="preserve">syn_wafer_dummy_001</t>
  </si>
  <si>
    <t xml:space="preserve">sosa:madeOnPlatform</t>
  </si>
  <si>
    <t xml:space="preserve">syn_carrier_01</t>
  </si>
  <si>
    <t xml:space="preserve">syn_step_polish_001</t>
  </si>
  <si>
    <t xml:space="preserve">psi</t>
  </si>
  <si>
    <t xml:space="preserve">cmpo:PSI</t>
  </si>
  <si>
    <t xml:space="preserve">2026-07-14T08:00:00</t>
  </si>
  <si>
    <t xml:space="preserve">Derived Preston P-term; not logged by PHM tool</t>
  </si>
  <si>
    <t xml:space="preserve">syn_obs_002</t>
  </si>
  <si>
    <t xml:space="preserve">2026-07-14T08:01:37</t>
  </si>
  <si>
    <t xml:space="preserve">syn_obs_003</t>
  </si>
  <si>
    <t xml:space="preserve">2026-07-14T08:03:14</t>
  </si>
  <si>
    <t xml:space="preserve">syn_obs_004</t>
  </si>
  <si>
    <t xml:space="preserve">2026-07-14T08:04:51</t>
  </si>
  <si>
    <t xml:space="preserve">syn_obs_005</t>
  </si>
  <si>
    <t xml:space="preserve">N</t>
  </si>
  <si>
    <t xml:space="preserve">cmpo:Newton</t>
  </si>
  <si>
    <t xml:space="preserve">2026-07-14T08:10:00</t>
  </si>
  <si>
    <t xml:space="preserve">Carrier downforce; not in PHM columns</t>
  </si>
  <si>
    <t xml:space="preserve">syn_obs_006</t>
  </si>
  <si>
    <t xml:space="preserve">2026-07-14T08:11:37</t>
  </si>
  <si>
    <t xml:space="preserve">syn_obs_007</t>
  </si>
  <si>
    <t xml:space="preserve">2026-07-14T08:13:14</t>
  </si>
  <si>
    <t xml:space="preserve">syn_obs_008</t>
  </si>
  <si>
    <t xml:space="preserve">2026-07-14T08:14:51</t>
  </si>
  <si>
    <t xml:space="preserve">syn_obs_009</t>
  </si>
  <si>
    <t xml:space="preserve">syn_platen_A</t>
  </si>
  <si>
    <t xml:space="preserve">m/s</t>
  </si>
  <si>
    <t xml:space="preserve">cmpo:MeterPerSecond</t>
  </si>
  <si>
    <t xml:space="preserve">2026-07-14T08:20:00</t>
  </si>
  <si>
    <t xml:space="preserve">Derived Preston V-term from platen+carrier rpm</t>
  </si>
  <si>
    <t xml:space="preserve">syn_obs_010</t>
  </si>
  <si>
    <t xml:space="preserve">2026-07-14T08:21:37</t>
  </si>
  <si>
    <t xml:space="preserve">syn_obs_011</t>
  </si>
  <si>
    <t xml:space="preserve">2026-07-14T08:23:14</t>
  </si>
  <si>
    <t xml:space="preserve">syn_obs_012</t>
  </si>
  <si>
    <t xml:space="preserve">2026-07-14T08:24:51</t>
  </si>
  <si>
    <t xml:space="preserve">syn_obs_013</t>
  </si>
  <si>
    <t xml:space="preserve">syn_pad_ic1000_01</t>
  </si>
  <si>
    <t xml:space="preserve">syn_conditioner_01</t>
  </si>
  <si>
    <t xml:space="preserve">sweeps/min</t>
  </si>
  <si>
    <t xml:space="preserve">(gap G6: no cmpo:Unit individual in v2.0)</t>
  </si>
  <si>
    <t xml:space="preserve">2026-07-14T08:30:00</t>
  </si>
  <si>
    <t xml:space="preserve">Conditioner arm sweep frequency</t>
  </si>
  <si>
    <t xml:space="preserve">syn_obs_014</t>
  </si>
  <si>
    <t xml:space="preserve">2026-07-14T08:31:37</t>
  </si>
  <si>
    <t xml:space="preserve">syn_obs_015</t>
  </si>
  <si>
    <t xml:space="preserve">2026-07-14T08:33:14</t>
  </si>
  <si>
    <t xml:space="preserve">syn_obs_016</t>
  </si>
  <si>
    <t xml:space="preserve">2026-07-14T08:34:51</t>
  </si>
  <si>
    <t xml:space="preserve">syn_obs_017</t>
  </si>
  <si>
    <t xml:space="preserve">2026-07-14T08:40:00</t>
  </si>
  <si>
    <t xml:space="preserve">Conditioner disc normal force</t>
  </si>
  <si>
    <t xml:space="preserve">syn_obs_018</t>
  </si>
  <si>
    <t xml:space="preserve">2026-07-14T08:41:37</t>
  </si>
  <si>
    <t xml:space="preserve">syn_obs_019</t>
  </si>
  <si>
    <t xml:space="preserve">2026-07-14T08:43:14</t>
  </si>
  <si>
    <t xml:space="preserve">syn_obs_020</t>
  </si>
  <si>
    <t xml:space="preserve">2026-07-14T08:44:51</t>
  </si>
  <si>
    <t xml:space="preserve">syn_obs_021</t>
  </si>
  <si>
    <t xml:space="preserve">%</t>
  </si>
  <si>
    <t xml:space="preserve">cmpo:Percent</t>
  </si>
  <si>
    <t xml:space="preserve">2026-07-14T08:50:00</t>
  </si>
  <si>
    <t xml:space="preserve">In-situ conditioning time share</t>
  </si>
  <si>
    <t xml:space="preserve">syn_obs_022</t>
  </si>
  <si>
    <t xml:space="preserve">2026-07-14T08:51:37</t>
  </si>
  <si>
    <t xml:space="preserve">syn_obs_023</t>
  </si>
  <si>
    <t xml:space="preserve">2026-07-14T08:53:14</t>
  </si>
  <si>
    <t xml:space="preserve">syn_obs_024</t>
  </si>
  <si>
    <t xml:space="preserve">2026-07-14T08:54:51</t>
  </si>
  <si>
    <t xml:space="preserve">syn_obs_025</t>
  </si>
  <si>
    <t xml:space="preserve">°C</t>
  </si>
  <si>
    <t xml:space="preserve">cmpo:DegreeCelsius</t>
  </si>
  <si>
    <t xml:space="preserve">2026-07-14T09:00:00</t>
  </si>
  <si>
    <t xml:space="preserve">Friction heating of pad surface</t>
  </si>
  <si>
    <t xml:space="preserve">syn_obs_026</t>
  </si>
  <si>
    <t xml:space="preserve">2026-07-14T09:01:37</t>
  </si>
  <si>
    <t xml:space="preserve">syn_obs_027</t>
  </si>
  <si>
    <t xml:space="preserve">2026-07-14T09:03:14</t>
  </si>
  <si>
    <t xml:space="preserve">syn_obs_028</t>
  </si>
  <si>
    <t xml:space="preserve">2026-07-14T09:04:51</t>
  </si>
  <si>
    <t xml:space="preserve">syn_obs_029</t>
  </si>
  <si>
    <t xml:space="preserve">syn_tool_mirra_01</t>
  </si>
  <si>
    <t xml:space="preserve">2026-07-14T09:10:00</t>
  </si>
  <si>
    <t xml:space="preserve">Ambient; FoI = process step context</t>
  </si>
  <si>
    <t xml:space="preserve">syn_obs_030</t>
  </si>
  <si>
    <t xml:space="preserve">2026-07-14T09:11:37</t>
  </si>
  <si>
    <t xml:space="preserve">syn_obs_031</t>
  </si>
  <si>
    <t xml:space="preserve">2026-07-14T09:13:14</t>
  </si>
  <si>
    <t xml:space="preserve">syn_obs_032</t>
  </si>
  <si>
    <t xml:space="preserve">2026-07-14T09:14:51</t>
  </si>
  <si>
    <t xml:space="preserve">syn_obs_033</t>
  </si>
  <si>
    <t xml:space="preserve">2026-07-14T09:20:00</t>
  </si>
  <si>
    <t xml:space="preserve">syn_obs_034</t>
  </si>
  <si>
    <t xml:space="preserve">2026-07-14T09:21:37</t>
  </si>
  <si>
    <t xml:space="preserve">syn_obs_035</t>
  </si>
  <si>
    <t xml:space="preserve">2026-07-14T09:23:14</t>
  </si>
  <si>
    <t xml:space="preserve">syn_obs_036</t>
  </si>
  <si>
    <t xml:space="preserve">2026-07-14T09:24:51</t>
  </si>
  <si>
    <t xml:space="preserve">syn_obs_037</t>
  </si>
  <si>
    <t xml:space="preserve">syn_slurry_klebosol_01</t>
  </si>
  <si>
    <t xml:space="preserve">syn_slurrypipe_A</t>
  </si>
  <si>
    <t xml:space="preserve">pH</t>
  </si>
  <si>
    <t xml:space="preserve">2026-07-14T09:30:00</t>
  </si>
  <si>
    <t xml:space="preserve">Colloidal silica slurry, alkaline</t>
  </si>
  <si>
    <t xml:space="preserve">syn_obs_038</t>
  </si>
  <si>
    <t xml:space="preserve">2026-07-14T09:31:37</t>
  </si>
  <si>
    <t xml:space="preserve">syn_obs_039</t>
  </si>
  <si>
    <t xml:space="preserve">2026-07-14T09:33:14</t>
  </si>
  <si>
    <t xml:space="preserve">syn_obs_040</t>
  </si>
  <si>
    <t xml:space="preserve">2026-07-14T09:34:51</t>
  </si>
  <si>
    <t xml:space="preserve">syn_obs_041</t>
  </si>
  <si>
    <t xml:space="preserve">cP</t>
  </si>
  <si>
    <t xml:space="preserve">2026-07-14T09:40:00</t>
  </si>
  <si>
    <t xml:space="preserve">Dynamic viscosity</t>
  </si>
  <si>
    <t xml:space="preserve">syn_obs_042</t>
  </si>
  <si>
    <t xml:space="preserve">2026-07-14T09:41:37</t>
  </si>
  <si>
    <t xml:space="preserve">syn_obs_043</t>
  </si>
  <si>
    <t xml:space="preserve">2026-07-14T09:43:14</t>
  </si>
  <si>
    <t xml:space="preserve">syn_obs_044</t>
  </si>
  <si>
    <t xml:space="preserve">2026-07-14T09:44:51</t>
  </si>
  <si>
    <t xml:space="preserve">syn_obs_045</t>
  </si>
  <si>
    <t xml:space="preserve">nm</t>
  </si>
  <si>
    <t xml:space="preserve">cmpo:Nanometer</t>
  </si>
  <si>
    <t xml:space="preserve">2026-07-14T09:50:00</t>
  </si>
  <si>
    <t xml:space="preserve">Mean silica particle size</t>
  </si>
  <si>
    <t xml:space="preserve">syn_obs_046</t>
  </si>
  <si>
    <t xml:space="preserve">2026-07-14T09:51:37</t>
  </si>
  <si>
    <t xml:space="preserve">syn_obs_047</t>
  </si>
  <si>
    <t xml:space="preserve">2026-07-14T09:53:14</t>
  </si>
  <si>
    <t xml:space="preserve">syn_obs_048</t>
  </si>
  <si>
    <t xml:space="preserve">2026-07-14T09:54:51</t>
  </si>
  <si>
    <t xml:space="preserve">syn_obs_049</t>
  </si>
  <si>
    <t xml:space="preserve">2026-07-14T10:00:00</t>
  </si>
  <si>
    <t xml:space="preserve">Abrasive weight share</t>
  </si>
  <si>
    <t xml:space="preserve">syn_obs_050</t>
  </si>
  <si>
    <t xml:space="preserve">2026-07-14T10:01:37</t>
  </si>
  <si>
    <t xml:space="preserve">syn_obs_051</t>
  </si>
  <si>
    <t xml:space="preserve">2026-07-14T10:03:14</t>
  </si>
  <si>
    <t xml:space="preserve">syn_obs_052</t>
  </si>
  <si>
    <t xml:space="preserve">2026-07-14T10:04:51</t>
  </si>
  <si>
    <t xml:space="preserve">syn_obs_053</t>
  </si>
  <si>
    <t xml:space="preserve">particles/mL</t>
  </si>
  <si>
    <t xml:space="preserve">2026-07-14T10:10:00</t>
  </si>
  <si>
    <t xml:space="preserve">Number density</t>
  </si>
  <si>
    <t xml:space="preserve">syn_obs_054</t>
  </si>
  <si>
    <t xml:space="preserve">2026-07-14T10:11:37</t>
  </si>
  <si>
    <t xml:space="preserve">syn_obs_055</t>
  </si>
  <si>
    <t xml:space="preserve">2026-07-14T10:13:14</t>
  </si>
  <si>
    <t xml:space="preserve">syn_obs_056</t>
  </si>
  <si>
    <t xml:space="preserve">2026-07-14T10:14:51</t>
  </si>
  <si>
    <t xml:space="preserve">syn_obs_057</t>
  </si>
  <si>
    <t xml:space="preserve">mol/L</t>
  </si>
  <si>
    <t xml:space="preserve">2026-07-14T10:20:00</t>
  </si>
  <si>
    <t xml:space="preserve">Colloidal stability driver</t>
  </si>
  <si>
    <t xml:space="preserve">syn_obs_058</t>
  </si>
  <si>
    <t xml:space="preserve">2026-07-14T10:21:37</t>
  </si>
  <si>
    <t xml:space="preserve">syn_obs_059</t>
  </si>
  <si>
    <t xml:space="preserve">2026-07-14T10:23:14</t>
  </si>
  <si>
    <t xml:space="preserve">syn_obs_060</t>
  </si>
  <si>
    <t xml:space="preserve">2026-07-14T10:24:51</t>
  </si>
  <si>
    <t xml:space="preserve">syn_obs_061</t>
  </si>
  <si>
    <t xml:space="preserve">mV</t>
  </si>
  <si>
    <t xml:space="preserve">2026-07-14T10:30:00</t>
  </si>
  <si>
    <t xml:space="preserve">Stable dispersion (&lt; -30 mV)</t>
  </si>
  <si>
    <t xml:space="preserve">syn_obs_062</t>
  </si>
  <si>
    <t xml:space="preserve">2026-07-14T10:31:37</t>
  </si>
  <si>
    <t xml:space="preserve">syn_obs_063</t>
  </si>
  <si>
    <t xml:space="preserve">2026-07-14T10:33:14</t>
  </si>
  <si>
    <t xml:space="preserve">syn_obs_064</t>
  </si>
  <si>
    <t xml:space="preserve">2026-07-14T10:34:51</t>
  </si>
  <si>
    <t xml:space="preserve">syn_obs_065</t>
  </si>
  <si>
    <t xml:space="preserve">syn_wafer_control_001</t>
  </si>
  <si>
    <t xml:space="preserve">sosa:madeBySensor</t>
  </si>
  <si>
    <t xml:space="preserve">syn_ftr_01</t>
  </si>
  <si>
    <t xml:space="preserve">syn_step_metrology_001</t>
  </si>
  <si>
    <t xml:space="preserve">2026-07-14T10:40:00</t>
  </si>
  <si>
    <t xml:space="preserve">Pre-CMP oxide thickness on control wafer</t>
  </si>
  <si>
    <t xml:space="preserve">syn_obs_066</t>
  </si>
  <si>
    <t xml:space="preserve">2026-07-14T10:41:37</t>
  </si>
  <si>
    <t xml:space="preserve">syn_obs_067</t>
  </si>
  <si>
    <t xml:space="preserve">2026-07-14T10:43:14</t>
  </si>
  <si>
    <t xml:space="preserve">syn_obs_068</t>
  </si>
  <si>
    <t xml:space="preserve">2026-07-14T10:44:51</t>
  </si>
  <si>
    <t xml:space="preserve">syn_obs_069</t>
  </si>
  <si>
    <t xml:space="preserve">syn_afm_01</t>
  </si>
  <si>
    <t xml:space="preserve">nm (Ra)</t>
  </si>
  <si>
    <t xml:space="preserve">2026-07-14T10:50:00</t>
  </si>
  <si>
    <t xml:space="preserve">Post-CMP AFM roughness</t>
  </si>
  <si>
    <t xml:space="preserve">syn_obs_070</t>
  </si>
  <si>
    <t xml:space="preserve">2026-07-14T10:51:37</t>
  </si>
  <si>
    <t xml:space="preserve">syn_obs_071</t>
  </si>
  <si>
    <t xml:space="preserve">2026-07-14T10:53:14</t>
  </si>
  <si>
    <t xml:space="preserve">syn_obs_072</t>
  </si>
  <si>
    <t xml:space="preserve">2026-07-14T10:54:51</t>
  </si>
  <si>
    <t xml:space="preserve">syn_obs_073</t>
  </si>
  <si>
    <t xml:space="preserve">2026-07-14T11:00:00</t>
  </si>
  <si>
    <t xml:space="preserve">49-site post-CMP thickness map</t>
  </si>
  <si>
    <t xml:space="preserve">syn_obs_074</t>
  </si>
  <si>
    <t xml:space="preserve">2026-07-14T11:01:37</t>
  </si>
  <si>
    <t xml:space="preserve">syn_obs_075</t>
  </si>
  <si>
    <t xml:space="preserve">2026-07-14T11:03:14</t>
  </si>
  <si>
    <t xml:space="preserve">syn_obs_076</t>
  </si>
  <si>
    <t xml:space="preserve">2026-07-14T11:04:51</t>
  </si>
  <si>
    <t xml:space="preserve">syn_obs_077</t>
  </si>
  <si>
    <t xml:space="preserve">syn_lot_400-111</t>
  </si>
  <si>
    <t xml:space="preserve">2026-07-14T11:10:00</t>
  </si>
  <si>
    <t xml:space="preserve">Lot-level; FoI = cmpo:Lot</t>
  </si>
  <si>
    <t xml:space="preserve">syn_obs_078</t>
  </si>
  <si>
    <t xml:space="preserve">2026-07-14T11:11:37</t>
  </si>
  <si>
    <t xml:space="preserve">syn_obs_079</t>
  </si>
  <si>
    <t xml:space="preserve">2026-07-14T11:13:14</t>
  </si>
  <si>
    <t xml:space="preserve">syn_obs_080</t>
  </si>
  <si>
    <t xml:space="preserve">2026-07-14T11:14:51</t>
  </si>
  <si>
    <t xml:space="preserve">entity_id</t>
  </si>
  <si>
    <t xml:space="preserve">property</t>
  </si>
  <si>
    <t xml:space="preserve">value</t>
  </si>
  <si>
    <t xml:space="preserve">value_kind</t>
  </si>
  <si>
    <t xml:space="preserve">note</t>
  </si>
  <si>
    <t xml:space="preserve">rdf:type</t>
  </si>
  <si>
    <t xml:space="preserve">IRI</t>
  </si>
  <si>
    <t xml:space="preserve">lot for synthetic wafers</t>
  </si>
  <si>
    <t xml:space="preserve">400-111</t>
  </si>
  <si>
    <t xml:space="preserve">xsd:string</t>
  </si>
  <si>
    <t xml:space="preserve">xsd:integer</t>
  </si>
  <si>
    <t xml:space="preserve">syn_lottype_prod_01</t>
  </si>
  <si>
    <t xml:space="preserve">syn_project_xena</t>
  </si>
  <si>
    <t xml:space="preserve">XENA</t>
  </si>
  <si>
    <t xml:space="preserve">carries most wafer-level properties</t>
  </si>
  <si>
    <t xml:space="preserve">SYN-D-001</t>
  </si>
  <si>
    <t xml:space="preserve">xsd:float</t>
  </si>
  <si>
    <t xml:space="preserve">xsd:float (µm)</t>
  </si>
  <si>
    <t xml:space="preserve">1</t>
  </si>
  <si>
    <t xml:space="preserve">syn_material_si</t>
  </si>
  <si>
    <t xml:space="preserve">syn_orient_100</t>
  </si>
  <si>
    <t xml:space="preserve">syn_notch_v_01</t>
  </si>
  <si>
    <t xml:space="preserve">syn_processcard_001</t>
  </si>
  <si>
    <t xml:space="preserve">FoI of synthetic metrology observations</t>
  </si>
  <si>
    <t xml:space="preserve">SYN-K-001</t>
  </si>
  <si>
    <t xml:space="preserve">syn_wafer_struct_001</t>
  </si>
  <si>
    <t xml:space="preserve">SYN-S-001</t>
  </si>
  <si>
    <t xml:space="preserve">syn_layer_oxide_001</t>
  </si>
  <si>
    <t xml:space="preserve">syn_material_sio2</t>
  </si>
  <si>
    <t xml:space="preserve">xsd:float (nm)</t>
  </si>
  <si>
    <t xml:space="preserve">Silicon</t>
  </si>
  <si>
    <t xml:space="preserve">SiO2</t>
  </si>
  <si>
    <t xml:space="preserve">syn_material_cu</t>
  </si>
  <si>
    <t xml:space="preserve">Copper</t>
  </si>
  <si>
    <t xml:space="preserve">100</t>
  </si>
  <si>
    <t xml:space="preserve">rich step exercising all step properties</t>
  </si>
  <si>
    <t xml:space="preserve">A</t>
  </si>
  <si>
    <t xml:space="preserve">xsd:dateTime</t>
  </si>
  <si>
    <t xml:space="preserve">2026-07-14T08:01:05</t>
  </si>
  <si>
    <t xml:space="preserve">syn_service_cmp</t>
  </si>
  <si>
    <t xml:space="preserve">syn_side_front_01</t>
  </si>
  <si>
    <t xml:space="preserve">syn_recipe_ox_01</t>
  </si>
  <si>
    <t xml:space="preserve">syn_mode_bulk_01</t>
  </si>
  <si>
    <t xml:space="preserve">syn_epd_optical_01</t>
  </si>
  <si>
    <t xml:space="preserve">syn_cleaning_001</t>
  </si>
  <si>
    <t xml:space="preserve">syn_r2r_001</t>
  </si>
  <si>
    <t xml:space="preserve">syn_preston_001</t>
  </si>
  <si>
    <t xml:space="preserve">syn_select_001</t>
  </si>
  <si>
    <t xml:space="preserve">measuring step on FTR tool (per class comment)</t>
  </si>
  <si>
    <t xml:space="preserve">syn_side_back_01</t>
  </si>
  <si>
    <t xml:space="preserve">syn_setpoint_rrp_01</t>
  </si>
  <si>
    <t xml:space="preserve">IRI (punned parameter)</t>
  </si>
  <si>
    <t xml:space="preserve">synthetic rotary polisher (AMAT Mirra style)</t>
  </si>
  <si>
    <t xml:space="preserve">SYN-MIRRA-01</t>
  </si>
  <si>
    <t xml:space="preserve">Qualified</t>
  </si>
  <si>
    <t xml:space="preserve">2026-06-01T00:00:00</t>
  </si>
  <si>
    <t xml:space="preserve">syn_tooltype_rotary_01</t>
  </si>
  <si>
    <t xml:space="preserve">syn_qual_001</t>
  </si>
  <si>
    <t xml:space="preserve">syn_condtable_01</t>
  </si>
  <si>
    <t xml:space="preserve">syn_chamber_01</t>
  </si>
  <si>
    <t xml:space="preserve">syn_motion_orbital_01</t>
  </si>
  <si>
    <t xml:space="preserve">syn_zone_rr_01</t>
  </si>
  <si>
    <t xml:space="preserve">syn_zone_center_01</t>
  </si>
  <si>
    <t xml:space="preserve">syn_zone_mainouter_01</t>
  </si>
  <si>
    <t xml:space="preserve">syn_zone_ripple_01</t>
  </si>
  <si>
    <t xml:space="preserve">syn_zone_edge_01</t>
  </si>
  <si>
    <t xml:space="preserve">syn_zone_membrane_01</t>
  </si>
  <si>
    <t xml:space="preserve">syn_motion_linear_01</t>
  </si>
  <si>
    <t xml:space="preserve">IC1000</t>
  </si>
  <si>
    <t xml:space="preserve">1200 wafers / 3000 min</t>
  </si>
  <si>
    <t xml:space="preserve">syn_groove_conc_01</t>
  </si>
  <si>
    <t xml:space="preserve">syn_disc_100_01</t>
  </si>
  <si>
    <t xml:space="preserve">in-situ</t>
  </si>
  <si>
    <t xml:space="preserve">#100</t>
  </si>
  <si>
    <t xml:space="preserve">syn_condpad_01</t>
  </si>
  <si>
    <t xml:space="preserve">KLEBOSOL 1501-50</t>
  </si>
  <si>
    <t xml:space="preserve">KB-2026-114</t>
  </si>
  <si>
    <t xml:space="preserve">syn_chem_001</t>
  </si>
  <si>
    <t xml:space="preserve">syn_abrasive_silica_01</t>
  </si>
  <si>
    <t xml:space="preserve">syn_additive_h2o2_01</t>
  </si>
  <si>
    <t xml:space="preserve">syn_additive_bta_01</t>
  </si>
  <si>
    <t xml:space="preserve">14 days after dilution</t>
  </si>
  <si>
    <t xml:space="preserve">syn_abrasive_alumina_01</t>
  </si>
  <si>
    <t xml:space="preserve">syn_abrasive_ceria_01</t>
  </si>
  <si>
    <t xml:space="preserve">syn_additive_citric_01</t>
  </si>
  <si>
    <t xml:space="preserve">syn_additive_surf_01</t>
  </si>
  <si>
    <t xml:space="preserve">syn_diwater_01</t>
  </si>
  <si>
    <t xml:space="preserve">syn_cleanagent_01</t>
  </si>
  <si>
    <t xml:space="preserve">syn_membrane_01</t>
  </si>
  <si>
    <t xml:space="preserve">per fab consumable plan</t>
  </si>
  <si>
    <t xml:space="preserve">syn_ring_01</t>
  </si>
  <si>
    <t xml:space="preserve">syn_backingfilm_01</t>
  </si>
  <si>
    <t xml:space="preserve">syn_pressheet_01</t>
  </si>
  <si>
    <t xml:space="preserve">syn_usage_001</t>
  </si>
  <si>
    <t xml:space="preserve">UT-SYN-001</t>
  </si>
  <si>
    <t xml:space="preserve">Polishing</t>
  </si>
  <si>
    <t xml:space="preserve">syn_spc_mrr_01</t>
  </si>
  <si>
    <t xml:space="preserve">SPC limits for AVG_REMOVAL_RATE (low mode)</t>
  </si>
  <si>
    <t xml:space="preserve">cmpo:CMPParameter (punned)</t>
  </si>
  <si>
    <t xml:space="preserve">schema-level link on parameter</t>
  </si>
  <si>
    <t xml:space="preserve">syn_window_rrp_01</t>
  </si>
  <si>
    <t xml:space="preserve">MRR = k_p * P * V</t>
  </si>
  <si>
    <t xml:space="preserve">syn_waferstate_001</t>
  </si>
  <si>
    <t xml:space="preserve">syn_defect_scratch_01</t>
  </si>
  <si>
    <t xml:space="preserve">syn_defect_dishing_01</t>
  </si>
  <si>
    <t xml:space="preserve">syn_defect_erosion_01</t>
  </si>
  <si>
    <t xml:space="preserve">syn_defect_corr_01</t>
  </si>
  <si>
    <t xml:space="preserve">syn_defect_over_01</t>
  </si>
  <si>
    <t xml:space="preserve">syn_defect_under_01</t>
  </si>
  <si>
    <t xml:space="preserve">syn_agent_anna</t>
  </si>
  <si>
    <t xml:space="preserve">Anna Processowner</t>
  </si>
  <si>
    <t xml:space="preserve">syn_role_process_01</t>
  </si>
  <si>
    <t xml:space="preserve">syn_agent_piotr</t>
  </si>
  <si>
    <t xml:space="preserve">Piotr Projektleiter</t>
  </si>
  <si>
    <t xml:space="preserve">syn_role_project_01</t>
  </si>
  <si>
    <t xml:space="preserve">SYN-FTR-01</t>
  </si>
  <si>
    <t xml:space="preserve">SYN-AFM-01</t>
  </si>
  <si>
    <t xml:space="preserve">syn_sensor_rrp_01</t>
  </si>
  <si>
    <t xml:space="preserve">example concrete sensor (pressure transducer)</t>
  </si>
  <si>
    <t xml:space="preserve">syn_lottype_eng_01</t>
  </si>
  <si>
    <t xml:space="preserve">minimal coverage instance</t>
  </si>
  <si>
    <t xml:space="preserve">syn_lottype_qual_01</t>
  </si>
  <si>
    <t xml:space="preserve">syn_notch_flat_01</t>
  </si>
  <si>
    <t xml:space="preserve">syn_tooltype_linear_01</t>
  </si>
  <si>
    <t xml:space="preserve">syn_tooltype_orbital_01</t>
  </si>
  <si>
    <t xml:space="preserve">syn_groove_xy_01</t>
  </si>
  <si>
    <t xml:space="preserve">syn_groove_spiral_01</t>
  </si>
  <si>
    <t xml:space="preserve">syn_groove_perf_01</t>
  </si>
  <si>
    <t xml:space="preserve">syn_mode_fine_01</t>
  </si>
  <si>
    <t xml:space="preserve">syn_mode_buff_01</t>
  </si>
  <si>
    <t xml:space="preserve">syn_mode_clear_01</t>
  </si>
  <si>
    <t xml:space="preserve">syn_epd_imp_01</t>
  </si>
  <si>
    <t xml:space="preserve">syn_epd_motor_01</t>
  </si>
  <si>
    <t xml:space="preserve">syn_ellips_01</t>
  </si>
  <si>
    <t xml:space="preserve">syn_profilo_01</t>
  </si>
  <si>
    <t xml:space="preserve">syn_sem_01</t>
  </si>
  <si>
    <t xml:space="preserve">source_file</t>
  </si>
  <si>
    <t xml:space="preserve">csv_column</t>
  </si>
  <si>
    <t xml:space="preserve">role</t>
  </si>
  <si>
    <t xml:space="preserve">cmpo_term</t>
  </si>
  <si>
    <t xml:space="preserve">mapping_mechanism</t>
  </si>
  <si>
    <t xml:space="preserve">rdf_pattern</t>
  </si>
  <si>
    <t xml:space="preserve">cmpo_unit</t>
  </si>
  <si>
    <t xml:space="preserve">rows_in_sample</t>
  </si>
  <si>
    <t xml:space="preserve">distinct_values</t>
  </si>
  <si>
    <t xml:space="preserve">example_value</t>
  </si>
  <si>
    <t xml:space="preserve">notes</t>
  </si>
  <si>
    <t xml:space="preserve">CMPtest000.csv</t>
  </si>
  <si>
    <t xml:space="preserve">MACHINE_ID</t>
  </si>
  <si>
    <t xml:space="preserve">identifier</t>
  </si>
  <si>
    <t xml:space="preserve">cmpo:Tool instance + cmpo:toolId (xsd:string)</t>
  </si>
  <si>
    <t xml:space="preserve">entity/identifier mapping</t>
  </si>
  <si>
    <t xml:space="preserve">obs --sosa:madeOnPlatform--&gt; :machine_{id} a cmpo:Tool ; cmpo:toolId "{id}"</t>
  </si>
  <si>
    <t xml:space="preserve">see term</t>
  </si>
  <si>
    <t xml:space="preserve">—</t>
  </si>
  <si>
    <t xml:space="preserve">2</t>
  </si>
  <si>
    <t xml:space="preserve">altLabel MACHINE_ID added in v2.0.1</t>
  </si>
  <si>
    <t xml:space="preserve">MACHINE_DATA</t>
  </si>
  <si>
    <t xml:space="preserve">context</t>
  </si>
  <si>
    <t xml:space="preserve">cmpo:machineDataId (xsd:integer) on cmpo:CMPObservation</t>
  </si>
  <si>
    <t xml:space="preserve">obs --cmpo:machineDataId--&gt; literal</t>
  </si>
  <si>
    <t xml:space="preserve">skos:altLabel present in v2.0</t>
  </si>
  <si>
    <t xml:space="preserve">TIMESTAMP</t>
  </si>
  <si>
    <t xml:space="preserve">cmpo:rawTimestamp (xsd:decimal) + sosa:resultTime (xsd:dateTime, converted)</t>
  </si>
  <si>
    <t xml:space="preserve">obs --cmpo:rawTimestamp--&gt; literal ; obs --sosa:resultTime--&gt; ISO datetime</t>
  </si>
  <si>
    <t xml:space="preserve">altLabel TIMESTAMP added in v2.0.1; epoch base is anonymised in PHM data</t>
  </si>
  <si>
    <t xml:space="preserve">WAFER_ID</t>
  </si>
  <si>
    <t xml:space="preserve">cmpo:Wafer instance + cmpo:hasWaferId (xsd:string)</t>
  </si>
  <si>
    <t xml:space="preserve">obs --sosa:hasFeatureOfInterest--&gt; :wafer_{id} a cmpo:Wafer ; cmpo:hasWaferId "{id}"</t>
  </si>
  <si>
    <t xml:space="preserve">373446766</t>
  </si>
  <si>
    <t xml:space="preserve">altLabel WAFER_ID added in v2.0.1; join key between the two CSVs (with STAGE)</t>
  </si>
  <si>
    <t xml:space="preserve">STAGE</t>
  </si>
  <si>
    <t xml:space="preserve">cmpo:PolishingStep instance + cmpo:stageLabel (xsd:string)</t>
  </si>
  <si>
    <t xml:space="preserve">obs --cmpo:duringStep--&gt; :step_{stage}_{wafer} a cmpo:PolishingStep ; cmpo:stageLabel "A|B"</t>
  </si>
  <si>
    <t xml:space="preserve">altLabel STAGE added in v2.0.1; steps run on platens via cmpo:runsOnPlaten (mapping decision)</t>
  </si>
  <si>
    <t xml:space="preserve">CHAMBER</t>
  </si>
  <si>
    <t xml:space="preserve">cmpo:Chamber instance + cmpo:chamberNumber (xsd:integer)</t>
  </si>
  <si>
    <t xml:space="preserve">obs --sosa:madeOnPlatform--&gt; :chamber_{n} a cmpo:Chamber (Chamber is a sosa:Platform via cmpo:Equipment)</t>
  </si>
  <si>
    <t xml:space="preserve">altLabel CHAMBER added in v2.0.1; CHAMBER == MACHINE_DATA in this sample (identical value sets)</t>
  </si>
  <si>
    <t xml:space="preserve">USAGE_OF_BACKING_FILM</t>
  </si>
  <si>
    <t xml:space="preserve">measurement</t>
  </si>
  <si>
    <t xml:space="preserve">skos:altLabel (exact, v2.0)</t>
  </si>
  <si>
    <t xml:space="preserve">one cmpo:CMPObservation per cell: sosa:observedProperty cmpo:BackingFilmUsage ; sosa:hasSimpleResult value</t>
  </si>
  <si>
    <t xml:space="preserve">(usage units, dataset-specific)</t>
  </si>
  <si>
    <t xml:space="preserve">USAGE_OF_DRESSER</t>
  </si>
  <si>
    <t xml:space="preserve">one cmpo:CMPObservation per cell: sosa:observedProperty cmpo:DresserUsage ; sosa:hasSimpleResult value</t>
  </si>
  <si>
    <t xml:space="preserve">USAGE_OF_POLISHING_TABLE</t>
  </si>
  <si>
    <t xml:space="preserve">one cmpo:CMPObservation per cell: sosa:observedProperty cmpo:PolishingTableUsage ; sosa:hasSimpleResult value</t>
  </si>
  <si>
    <t xml:space="preserve">USAGE_OF_DRESSER_TABLE</t>
  </si>
  <si>
    <t xml:space="preserve">one cmpo:CMPObservation per cell: sosa:observedProperty cmpo:DresserTableUsage ; sosa:hasSimpleResult value</t>
  </si>
  <si>
    <t xml:space="preserve">PRESSURIZED_CHAMBER_PRESSURE</t>
  </si>
  <si>
    <t xml:space="preserve">one cmpo:CMPObservation per cell: sosa:observedProperty cmpo:PressurizedChamberPressure ; sosa:hasSimpleResult value</t>
  </si>
  <si>
    <t xml:space="preserve">canonical unit via cmpo:Pressure</t>
  </si>
  <si>
    <t xml:space="preserve">MAIN_OUTER_AIR_BAG_PRESSURE</t>
  </si>
  <si>
    <t xml:space="preserve">one cmpo:CMPObservation per cell: sosa:observedProperty cmpo:MainOuterAirBagPressure ; sosa:hasSimpleResult value</t>
  </si>
  <si>
    <t xml:space="preserve">CENTER_AIR_BAG_PRESSURE</t>
  </si>
  <si>
    <t xml:space="preserve">one cmpo:CMPObservation per cell: sosa:observedProperty cmpo:CenterAirBagPressure ; sosa:hasSimpleResult value</t>
  </si>
  <si>
    <t xml:space="preserve">RETAINER_RING_PRESSURE</t>
  </si>
  <si>
    <t xml:space="preserve">one cmpo:CMPObservation per cell: sosa:observedProperty cmpo:RetainingRingPressure ; sosa:hasSimpleResult value</t>
  </si>
  <si>
    <t xml:space="preserve">RIPPLE_AIR_BAG_PRESSURE</t>
  </si>
  <si>
    <t xml:space="preserve">one cmpo:CMPObservation per cell: sosa:observedProperty cmpo:RippleAirBagPressure ; sosa:hasSimpleResult value</t>
  </si>
  <si>
    <t xml:space="preserve">USAGE_OF_MEMBRANE</t>
  </si>
  <si>
    <t xml:space="preserve">one cmpo:CMPObservation per cell: sosa:observedProperty cmpo:MembraneUsage ; sosa:hasSimpleResult value</t>
  </si>
  <si>
    <t xml:space="preserve">USAGE_OF_PRESSURIZED_SHEET</t>
  </si>
  <si>
    <t xml:space="preserve">one cmpo:CMPObservation per cell: sosa:observedProperty cmpo:PressurizedSheetUsage ; sosa:hasSimpleResult value</t>
  </si>
  <si>
    <t xml:space="preserve">SLURRY_FLOW_LINE_A</t>
  </si>
  <si>
    <t xml:space="preserve">one cmpo:CMPObservation per cell: sosa:observedProperty cmpo:SlurryFlowLineA ; sosa:hasSimpleResult value</t>
  </si>
  <si>
    <t xml:space="preserve">ml/min</t>
  </si>
  <si>
    <t xml:space="preserve">cmpo:MilliliterPerMinute</t>
  </si>
  <si>
    <t xml:space="preserve">SLURRY_FLOW_LINE_B</t>
  </si>
  <si>
    <t xml:space="preserve">one cmpo:CMPObservation per cell: sosa:observedProperty cmpo:SlurryFlowLineB ; sosa:hasSimpleResult value</t>
  </si>
  <si>
    <t xml:space="preserve">SLURRY_FLOW_LINE_C</t>
  </si>
  <si>
    <t xml:space="preserve">one cmpo:CMPObservation per cell: sosa:observedProperty cmpo:SlurryFlowLineC ; sosa:hasSimpleResult value</t>
  </si>
  <si>
    <t xml:space="preserve">WAFER_ROTATION</t>
  </si>
  <si>
    <t xml:space="preserve">one cmpo:CMPObservation per cell: sosa:observedProperty cmpo:WaferRotationSpeed ; sosa:hasSimpleResult value</t>
  </si>
  <si>
    <t xml:space="preserve">rpm</t>
  </si>
  <si>
    <t xml:space="preserve">cmpo:RPM</t>
  </si>
  <si>
    <t xml:space="preserve">STAGE_ROTATION</t>
  </si>
  <si>
    <t xml:space="preserve">one cmpo:CMPObservation per cell: sosa:observedProperty cmpo:PlatenRotationSpeed ; sosa:hasSimpleResult value</t>
  </si>
  <si>
    <t xml:space="preserve">HEAD_ROTATION</t>
  </si>
  <si>
    <t xml:space="preserve">one cmpo:CMPObservation per cell: sosa:observedProperty cmpo:CarrierRotationSpeed ; sosa:hasSimpleResult value</t>
  </si>
  <si>
    <t xml:space="preserve">DRESSING_WATER_STATUS</t>
  </si>
  <si>
    <t xml:space="preserve">one cmpo:CMPObservation per cell: sosa:observedProperty cmpo:DressingWaterStatus ; sosa:hasSimpleResult value</t>
  </si>
  <si>
    <t xml:space="preserve">binary status 0/1 (dataset-specific)</t>
  </si>
  <si>
    <t xml:space="preserve">values are 0/1 in sample</t>
  </si>
  <si>
    <t xml:space="preserve">EDGE_AIR_BAG_PRESSURE</t>
  </si>
  <si>
    <t xml:space="preserve">one cmpo:CMPObservation per cell: sosa:observedProperty cmpo:EdgeAirBagPressure ; sosa:hasSimpleResult value</t>
  </si>
  <si>
    <t xml:space="preserve">CMPtestremovalrate.csv</t>
  </si>
  <si>
    <t xml:space="preserve">-4224160678</t>
  </si>
  <si>
    <t xml:space="preserve">altLabel WAFER_ID added in v2.0.1; join key between the two CSVs (with STAGE) (same entity as in CMPtest000.csv)</t>
  </si>
  <si>
    <t xml:space="preserve">B</t>
  </si>
  <si>
    <t xml:space="preserve">altLabel STAGE added in v2.0.1; steps run on platens via cmpo:runsOnPlaten (mapping decision) (same entity as in CMPtest000.csv)</t>
  </si>
  <si>
    <t xml:space="preserve">AVG_REMOVAL_RATE</t>
  </si>
  <si>
    <t xml:space="preserve">measurement (target/label)</t>
  </si>
  <si>
    <t xml:space="preserve">one cmpo:CMPObservation per row: sosa:observedProperty cmpo:AverageRemovalRate ; sosa:hasSimpleResult value ; sosa:hasFeatureOfInterest wafer ; cmpo:duringStep step</t>
  </si>
  <si>
    <t xml:space="preserve">nm/min</t>
  </si>
  <si>
    <t xml:space="preserve">cmpo:NanometerPerMinute</t>
  </si>
  <si>
    <t xml:space="preserve">PHM 2016 target variable; bimodal in sample (54-99 vs 145-164, high mode only stage A)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</si>
</sst>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/>
      <c r="B2" s="2"/>
    </row>
    <row r="3" customFormat="false" ht="35.05" hidden="false" customHeight="false" outlineLevel="0" collapsed="false">
      <c r="A3" s="4" t="s">
        <v>1</v>
      </c>
      <c r="B3" s="2" t="s">
        <v>2</v>
      </c>
    </row>
    <row r="4" customFormat="false" ht="15" hidden="false" customHeight="false" outlineLevel="0" collapsed="false">
      <c r="A4" s="3"/>
      <c r="B4" s="2"/>
    </row>
    <row r="5" customFormat="false" ht="23.85" hidden="false" customHeight="false" outlineLevel="0" collapsed="false">
      <c r="A5" s="4" t="s">
        <v>3</v>
      </c>
      <c r="B5" s="2" t="s">
        <v>4</v>
      </c>
    </row>
    <row r="6" customFormat="false" ht="15" hidden="false" customHeight="false" outlineLevel="0" collapsed="false">
      <c r="A6" s="3"/>
      <c r="B6" s="2"/>
    </row>
    <row r="7" customFormat="false" ht="23.85" hidden="false" customHeight="false" outlineLevel="0" collapsed="false">
      <c r="A7" s="4" t="s">
        <v>5</v>
      </c>
      <c r="B7" s="2" t="s">
        <v>6</v>
      </c>
    </row>
    <row r="8" customFormat="false" ht="15" hidden="false" customHeight="false" outlineLevel="0" collapsed="false">
      <c r="A8" s="3"/>
      <c r="B8" s="2"/>
    </row>
    <row r="9" customFormat="false" ht="35.05" hidden="false" customHeight="false" outlineLevel="0" collapsed="false">
      <c r="A9" s="4" t="s">
        <v>7</v>
      </c>
      <c r="B9" s="2" t="s">
        <v>8</v>
      </c>
    </row>
    <row r="10" customFormat="false" ht="15" hidden="false" customHeight="false" outlineLevel="0" collapsed="false">
      <c r="A10" s="3"/>
      <c r="B10" s="2"/>
    </row>
    <row r="11" customFormat="false" ht="35.05" hidden="false" customHeight="false" outlineLevel="0" collapsed="false">
      <c r="A11" s="4" t="s">
        <v>9</v>
      </c>
      <c r="B11" s="2" t="s">
        <v>10</v>
      </c>
    </row>
    <row r="12" customFormat="false" ht="15" hidden="false" customHeight="false" outlineLevel="0" collapsed="false">
      <c r="A12" s="3"/>
      <c r="B12" s="2"/>
    </row>
    <row r="13" customFormat="false" ht="15" hidden="false" customHeight="false" outlineLevel="0" collapsed="false">
      <c r="A13" s="4" t="s">
        <v>11</v>
      </c>
      <c r="B13" s="2" t="s">
        <v>12</v>
      </c>
    </row>
    <row r="14" customFormat="false" ht="15" hidden="false" customHeight="false" outlineLevel="0" collapsed="false">
      <c r="A14" s="3"/>
      <c r="B14" s="2"/>
    </row>
    <row r="15" customFormat="false" ht="23.85" hidden="false" customHeight="false" outlineLevel="0" collapsed="false">
      <c r="A15" s="4" t="s">
        <v>13</v>
      </c>
      <c r="B15" s="2" t="s">
        <v>14</v>
      </c>
    </row>
    <row r="17" customFormat="false" ht="15" hidden="false" customHeight="false" outlineLevel="0" collapsed="false">
      <c r="A17" s="5" t="s">
        <v>15</v>
      </c>
    </row>
    <row r="18" customFormat="false" ht="15" hidden="false" customHeight="false" outlineLevel="0" collapsed="false">
      <c r="A18" s="4" t="s">
        <v>16</v>
      </c>
      <c r="B18" s="4" t="n">
        <f aca="false">COUNTA(Coverage_Classes!A2:A1000)</f>
        <v>165</v>
      </c>
    </row>
    <row r="19" customFormat="false" ht="15" hidden="false" customHeight="false" outlineLevel="0" collapsed="false">
      <c r="A19" s="4" t="s">
        <v>17</v>
      </c>
      <c r="B19" s="4" t="n">
        <f aca="false">COUNTIF(Coverage_Classes!C2:C1000,"REAL")+COUNTIF(Coverage_Classes!C2:C1000,"REAL + SYNTHETIC")</f>
        <v>25</v>
      </c>
    </row>
    <row r="20" customFormat="false" ht="15" hidden="false" customHeight="false" outlineLevel="0" collapsed="false">
      <c r="A20" s="4" t="s">
        <v>18</v>
      </c>
      <c r="B20" s="4" t="n">
        <f aca="false">COUNTIF(Coverage_Classes!C2:C1000,"SYNTHETIC")+COUNTIF(Coverage_Classes!C2:C1000,"REAL + SYNTHETIC")</f>
        <v>111</v>
      </c>
    </row>
    <row r="21" customFormat="false" ht="15" hidden="false" customHeight="false" outlineLevel="0" collapsed="false">
      <c r="A21" s="4" t="s">
        <v>19</v>
      </c>
      <c r="B21" s="4" t="n">
        <f aca="false">COUNTIF(Coverage_Classes!C2:C1000,"STRUCTURAL")</f>
        <v>30</v>
      </c>
    </row>
    <row r="22" customFormat="false" ht="15" hidden="false" customHeight="false" outlineLevel="0" collapsed="false">
      <c r="A22" s="4" t="s">
        <v>20</v>
      </c>
      <c r="B22" s="4" t="n">
        <f aca="false">COUNTIF(Coverage_Classes!C2:C1000,"SCHEMA")+COUNTIF(Coverage_Classes!C2:C1000,"DOC-ONLY")</f>
        <v>2</v>
      </c>
    </row>
    <row r="23" customFormat="false" ht="15" hidden="false" customHeight="false" outlineLevel="0" collapsed="false">
      <c r="A23" s="4" t="s">
        <v>21</v>
      </c>
      <c r="B23" s="4" t="n">
        <f aca="false">COUNTIF(Coverage_Classes!C2:C1000,"NOT COVERED")</f>
        <v>0</v>
      </c>
    </row>
    <row r="24" customFormat="false" ht="15" hidden="false" customHeight="false" outlineLevel="0" collapsed="false">
      <c r="A24" s="4" t="s">
        <v>22</v>
      </c>
      <c r="B24" s="4" t="n">
        <f aca="false">COUNTA(Coverage_Properties!A2:A1000)</f>
        <v>116</v>
      </c>
    </row>
    <row r="25" customFormat="false" ht="15" hidden="false" customHeight="false" outlineLevel="0" collapsed="false">
      <c r="A25" s="4" t="s">
        <v>23</v>
      </c>
      <c r="B25" s="4" t="n">
        <f aca="false">COUNTIF(Coverage_Properties!D2:D1000,"REAL")+COUNTIF(Coverage_Properties!D2:D1000,"REAL + SYNTHETIC")</f>
        <v>7</v>
      </c>
    </row>
    <row r="26" customFormat="false" ht="15" hidden="false" customHeight="false" outlineLevel="0" collapsed="false">
      <c r="A26" s="4" t="s">
        <v>24</v>
      </c>
      <c r="B26" s="4" t="n">
        <f aca="false">COUNTIF(Coverage_Properties!D2:D1000,"SYNTHETIC")+COUNTIF(Coverage_Properties!D2:D1000,"REAL + SYNTHETIC")</f>
        <v>112</v>
      </c>
    </row>
    <row r="27" customFormat="false" ht="15" hidden="false" customHeight="false" outlineLevel="0" collapsed="false">
      <c r="A27" s="4" t="s">
        <v>25</v>
      </c>
      <c r="B27" s="4" t="n">
        <f aca="false">COUNTIF(Coverage_Properties!D2:D1000,"SCHEMA")</f>
        <v>1</v>
      </c>
    </row>
    <row r="28" customFormat="false" ht="15" hidden="false" customHeight="false" outlineLevel="0" collapsed="false">
      <c r="A28" s="4" t="s">
        <v>26</v>
      </c>
      <c r="B28" s="4" t="n">
        <f aca="false">COUNTIF(Coverage_Properties!D2:D1000,"NOT COVERED")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6" t="s">
        <v>27</v>
      </c>
      <c r="B1" s="6" t="s">
        <v>28</v>
      </c>
      <c r="C1" s="6" t="s">
        <v>29</v>
      </c>
      <c r="D1" s="6" t="s">
        <v>30</v>
      </c>
    </row>
    <row r="2" customFormat="false" ht="15" hidden="false" customHeight="false" outlineLevel="0" collapsed="false">
      <c r="A2" s="7" t="s">
        <v>31</v>
      </c>
      <c r="B2" s="7" t="s">
        <v>32</v>
      </c>
      <c r="C2" s="7" t="s">
        <v>33</v>
      </c>
      <c r="D2" s="7" t="s">
        <v>34</v>
      </c>
    </row>
    <row r="3" customFormat="false" ht="15" hidden="false" customHeight="false" outlineLevel="0" collapsed="false">
      <c r="A3" s="7" t="s">
        <v>35</v>
      </c>
      <c r="B3" s="7" t="s">
        <v>36</v>
      </c>
      <c r="C3" s="7" t="s">
        <v>33</v>
      </c>
      <c r="D3" s="7" t="s">
        <v>34</v>
      </c>
    </row>
    <row r="4" customFormat="false" ht="15" hidden="false" customHeight="false" outlineLevel="0" collapsed="false">
      <c r="A4" s="8" t="s">
        <v>37</v>
      </c>
      <c r="B4" s="8" t="s">
        <v>38</v>
      </c>
      <c r="C4" s="8" t="s">
        <v>39</v>
      </c>
      <c r="D4" s="8" t="s">
        <v>40</v>
      </c>
    </row>
    <row r="5" customFormat="false" ht="15" hidden="false" customHeight="false" outlineLevel="0" collapsed="false">
      <c r="A5" s="7" t="s">
        <v>41</v>
      </c>
      <c r="B5" s="7" t="s">
        <v>42</v>
      </c>
      <c r="C5" s="7" t="s">
        <v>33</v>
      </c>
      <c r="D5" s="7" t="s">
        <v>34</v>
      </c>
    </row>
    <row r="6" customFormat="false" ht="15" hidden="false" customHeight="false" outlineLevel="0" collapsed="false">
      <c r="A6" s="7" t="s">
        <v>43</v>
      </c>
      <c r="B6" s="7" t="s">
        <v>44</v>
      </c>
      <c r="C6" s="7" t="s">
        <v>33</v>
      </c>
      <c r="D6" s="7" t="s">
        <v>34</v>
      </c>
    </row>
    <row r="7" customFormat="false" ht="15" hidden="false" customHeight="false" outlineLevel="0" collapsed="false">
      <c r="A7" s="9" t="s">
        <v>45</v>
      </c>
      <c r="B7" s="9" t="s">
        <v>46</v>
      </c>
      <c r="C7" s="9" t="s">
        <v>47</v>
      </c>
      <c r="D7" s="9" t="s">
        <v>48</v>
      </c>
    </row>
    <row r="8" customFormat="false" ht="15" hidden="false" customHeight="false" outlineLevel="0" collapsed="false">
      <c r="A8" s="7" t="s">
        <v>49</v>
      </c>
      <c r="B8" s="7" t="s">
        <v>50</v>
      </c>
      <c r="C8" s="7" t="s">
        <v>33</v>
      </c>
      <c r="D8" s="7" t="s">
        <v>34</v>
      </c>
    </row>
    <row r="9" customFormat="false" ht="15" hidden="false" customHeight="false" outlineLevel="0" collapsed="false">
      <c r="A9" s="7" t="s">
        <v>51</v>
      </c>
      <c r="B9" s="7" t="s">
        <v>52</v>
      </c>
      <c r="C9" s="7" t="s">
        <v>33</v>
      </c>
      <c r="D9" s="7" t="s">
        <v>34</v>
      </c>
    </row>
    <row r="10" customFormat="false" ht="15" hidden="false" customHeight="false" outlineLevel="0" collapsed="false">
      <c r="A10" s="9" t="s">
        <v>53</v>
      </c>
      <c r="B10" s="9" t="s">
        <v>54</v>
      </c>
      <c r="C10" s="9" t="s">
        <v>47</v>
      </c>
      <c r="D10" s="9" t="s">
        <v>48</v>
      </c>
    </row>
    <row r="11" customFormat="false" ht="15" hidden="false" customHeight="false" outlineLevel="0" collapsed="false">
      <c r="A11" s="7" t="s">
        <v>55</v>
      </c>
      <c r="B11" s="7" t="s">
        <v>56</v>
      </c>
      <c r="C11" s="7" t="s">
        <v>33</v>
      </c>
      <c r="D11" s="7" t="s">
        <v>34</v>
      </c>
    </row>
    <row r="12" customFormat="false" ht="15" hidden="false" customHeight="false" outlineLevel="0" collapsed="false">
      <c r="A12" s="7" t="s">
        <v>57</v>
      </c>
      <c r="B12" s="7" t="s">
        <v>58</v>
      </c>
      <c r="C12" s="7" t="s">
        <v>33</v>
      </c>
      <c r="D12" s="7" t="s">
        <v>34</v>
      </c>
    </row>
    <row r="13" customFormat="false" ht="15" hidden="false" customHeight="false" outlineLevel="0" collapsed="false">
      <c r="A13" s="8" t="s">
        <v>59</v>
      </c>
      <c r="B13" s="8" t="s">
        <v>60</v>
      </c>
      <c r="C13" s="8" t="s">
        <v>39</v>
      </c>
      <c r="D13" s="8" t="s">
        <v>40</v>
      </c>
    </row>
    <row r="14" customFormat="false" ht="15" hidden="false" customHeight="false" outlineLevel="0" collapsed="false">
      <c r="A14" s="9" t="s">
        <v>61</v>
      </c>
      <c r="B14" s="9" t="s">
        <v>62</v>
      </c>
      <c r="C14" s="9" t="s">
        <v>47</v>
      </c>
      <c r="D14" s="9" t="s">
        <v>48</v>
      </c>
    </row>
    <row r="15" customFormat="false" ht="15" hidden="false" customHeight="false" outlineLevel="0" collapsed="false">
      <c r="A15" s="8" t="s">
        <v>63</v>
      </c>
      <c r="B15" s="8" t="s">
        <v>64</v>
      </c>
      <c r="C15" s="8" t="s">
        <v>39</v>
      </c>
      <c r="D15" s="8" t="s">
        <v>40</v>
      </c>
    </row>
    <row r="16" customFormat="false" ht="15" hidden="false" customHeight="false" outlineLevel="0" collapsed="false">
      <c r="A16" s="7" t="s">
        <v>65</v>
      </c>
      <c r="B16" s="7" t="s">
        <v>66</v>
      </c>
      <c r="C16" s="7" t="s">
        <v>33</v>
      </c>
      <c r="D16" s="7" t="s">
        <v>34</v>
      </c>
    </row>
    <row r="17" customFormat="false" ht="15" hidden="false" customHeight="false" outlineLevel="0" collapsed="false">
      <c r="A17" s="8" t="s">
        <v>67</v>
      </c>
      <c r="B17" s="8" t="s">
        <v>68</v>
      </c>
      <c r="C17" s="8" t="s">
        <v>39</v>
      </c>
      <c r="D17" s="8" t="s">
        <v>40</v>
      </c>
    </row>
    <row r="18" customFormat="false" ht="15" hidden="false" customHeight="false" outlineLevel="0" collapsed="false">
      <c r="A18" s="7" t="s">
        <v>69</v>
      </c>
      <c r="B18" s="7" t="s">
        <v>70</v>
      </c>
      <c r="C18" s="7" t="s">
        <v>33</v>
      </c>
      <c r="D18" s="7" t="s">
        <v>34</v>
      </c>
    </row>
    <row r="19" customFormat="false" ht="15" hidden="false" customHeight="false" outlineLevel="0" collapsed="false">
      <c r="A19" s="9" t="s">
        <v>71</v>
      </c>
      <c r="B19" s="9" t="s">
        <v>72</v>
      </c>
      <c r="C19" s="9" t="s">
        <v>47</v>
      </c>
      <c r="D19" s="9" t="s">
        <v>48</v>
      </c>
    </row>
    <row r="20" customFormat="false" ht="15" hidden="false" customHeight="false" outlineLevel="0" collapsed="false">
      <c r="A20" s="9" t="s">
        <v>73</v>
      </c>
      <c r="B20" s="9" t="s">
        <v>74</v>
      </c>
      <c r="C20" s="9" t="s">
        <v>47</v>
      </c>
      <c r="D20" s="9" t="s">
        <v>48</v>
      </c>
    </row>
    <row r="21" customFormat="false" ht="15" hidden="false" customHeight="false" outlineLevel="0" collapsed="false">
      <c r="A21" s="7" t="s">
        <v>75</v>
      </c>
      <c r="B21" s="7" t="s">
        <v>76</v>
      </c>
      <c r="C21" s="7" t="s">
        <v>33</v>
      </c>
      <c r="D21" s="7" t="s">
        <v>34</v>
      </c>
    </row>
    <row r="22" customFormat="false" ht="15" hidden="false" customHeight="false" outlineLevel="0" collapsed="false">
      <c r="A22" s="7" t="s">
        <v>77</v>
      </c>
      <c r="B22" s="7" t="s">
        <v>78</v>
      </c>
      <c r="C22" s="7" t="s">
        <v>33</v>
      </c>
      <c r="D22" s="7" t="s">
        <v>34</v>
      </c>
    </row>
    <row r="23" customFormat="false" ht="15" hidden="false" customHeight="false" outlineLevel="0" collapsed="false">
      <c r="A23" s="9" t="s">
        <v>79</v>
      </c>
      <c r="B23" s="9" t="s">
        <v>80</v>
      </c>
      <c r="C23" s="9" t="s">
        <v>81</v>
      </c>
      <c r="D23" s="9" t="s">
        <v>82</v>
      </c>
    </row>
    <row r="24" customFormat="false" ht="15" hidden="false" customHeight="false" outlineLevel="0" collapsed="false">
      <c r="A24" s="8" t="s">
        <v>83</v>
      </c>
      <c r="B24" s="8" t="s">
        <v>84</v>
      </c>
      <c r="C24" s="8" t="s">
        <v>39</v>
      </c>
      <c r="D24" s="8" t="s">
        <v>40</v>
      </c>
    </row>
    <row r="25" customFormat="false" ht="15" hidden="false" customHeight="false" outlineLevel="0" collapsed="false">
      <c r="A25" s="7" t="s">
        <v>85</v>
      </c>
      <c r="B25" s="7" t="s">
        <v>86</v>
      </c>
      <c r="C25" s="7" t="s">
        <v>33</v>
      </c>
      <c r="D25" s="7" t="s">
        <v>34</v>
      </c>
    </row>
    <row r="26" customFormat="false" ht="15" hidden="false" customHeight="false" outlineLevel="0" collapsed="false">
      <c r="A26" s="7" t="s">
        <v>87</v>
      </c>
      <c r="B26" s="7" t="s">
        <v>88</v>
      </c>
      <c r="C26" s="7" t="s">
        <v>33</v>
      </c>
      <c r="D26" s="7" t="s">
        <v>34</v>
      </c>
    </row>
    <row r="27" customFormat="false" ht="15" hidden="false" customHeight="false" outlineLevel="0" collapsed="false">
      <c r="A27" s="7" t="s">
        <v>89</v>
      </c>
      <c r="B27" s="7" t="s">
        <v>90</v>
      </c>
      <c r="C27" s="7" t="s">
        <v>33</v>
      </c>
      <c r="D27" s="7" t="s">
        <v>34</v>
      </c>
    </row>
    <row r="28" customFormat="false" ht="15" hidden="false" customHeight="false" outlineLevel="0" collapsed="false">
      <c r="A28" s="7" t="s">
        <v>91</v>
      </c>
      <c r="B28" s="7" t="s">
        <v>92</v>
      </c>
      <c r="C28" s="7" t="s">
        <v>33</v>
      </c>
      <c r="D28" s="7" t="s">
        <v>34</v>
      </c>
    </row>
    <row r="29" customFormat="false" ht="15" hidden="false" customHeight="false" outlineLevel="0" collapsed="false">
      <c r="A29" s="7" t="s">
        <v>93</v>
      </c>
      <c r="B29" s="7" t="s">
        <v>94</v>
      </c>
      <c r="C29" s="7" t="s">
        <v>33</v>
      </c>
      <c r="D29" s="7" t="s">
        <v>34</v>
      </c>
    </row>
    <row r="30" customFormat="false" ht="15" hidden="false" customHeight="false" outlineLevel="0" collapsed="false">
      <c r="A30" s="7" t="s">
        <v>95</v>
      </c>
      <c r="B30" s="7" t="s">
        <v>96</v>
      </c>
      <c r="C30" s="7" t="s">
        <v>33</v>
      </c>
      <c r="D30" s="7" t="s">
        <v>34</v>
      </c>
    </row>
    <row r="31" customFormat="false" ht="15" hidden="false" customHeight="false" outlineLevel="0" collapsed="false">
      <c r="A31" s="7" t="s">
        <v>97</v>
      </c>
      <c r="B31" s="7" t="s">
        <v>98</v>
      </c>
      <c r="C31" s="7" t="s">
        <v>33</v>
      </c>
      <c r="D31" s="7" t="s">
        <v>34</v>
      </c>
    </row>
    <row r="32" customFormat="false" ht="15" hidden="false" customHeight="false" outlineLevel="0" collapsed="false">
      <c r="A32" s="7" t="s">
        <v>99</v>
      </c>
      <c r="B32" s="7" t="s">
        <v>100</v>
      </c>
      <c r="C32" s="7" t="s">
        <v>33</v>
      </c>
      <c r="D32" s="7" t="s">
        <v>34</v>
      </c>
    </row>
    <row r="33" customFormat="false" ht="15" hidden="false" customHeight="false" outlineLevel="0" collapsed="false">
      <c r="A33" s="7" t="s">
        <v>101</v>
      </c>
      <c r="B33" s="7" t="s">
        <v>102</v>
      </c>
      <c r="C33" s="7" t="s">
        <v>33</v>
      </c>
      <c r="D33" s="7" t="s">
        <v>34</v>
      </c>
    </row>
    <row r="34" customFormat="false" ht="15" hidden="false" customHeight="false" outlineLevel="0" collapsed="false">
      <c r="A34" s="7" t="s">
        <v>103</v>
      </c>
      <c r="B34" s="7" t="s">
        <v>104</v>
      </c>
      <c r="C34" s="7" t="s">
        <v>33</v>
      </c>
      <c r="D34" s="7" t="s">
        <v>34</v>
      </c>
    </row>
    <row r="35" customFormat="false" ht="15" hidden="false" customHeight="false" outlineLevel="0" collapsed="false">
      <c r="A35" s="7" t="s">
        <v>105</v>
      </c>
      <c r="B35" s="7" t="s">
        <v>106</v>
      </c>
      <c r="C35" s="7" t="s">
        <v>33</v>
      </c>
      <c r="D35" s="7" t="s">
        <v>34</v>
      </c>
    </row>
    <row r="36" customFormat="false" ht="15" hidden="false" customHeight="false" outlineLevel="0" collapsed="false">
      <c r="A36" s="8" t="s">
        <v>107</v>
      </c>
      <c r="B36" s="8" t="s">
        <v>108</v>
      </c>
      <c r="C36" s="8" t="s">
        <v>39</v>
      </c>
      <c r="D36" s="8" t="s">
        <v>40</v>
      </c>
    </row>
    <row r="37" customFormat="false" ht="15" hidden="false" customHeight="false" outlineLevel="0" collapsed="false">
      <c r="A37" s="7" t="s">
        <v>109</v>
      </c>
      <c r="B37" s="7" t="s">
        <v>110</v>
      </c>
      <c r="C37" s="7" t="s">
        <v>33</v>
      </c>
      <c r="D37" s="7" t="s">
        <v>34</v>
      </c>
    </row>
    <row r="38" customFormat="false" ht="15" hidden="false" customHeight="false" outlineLevel="0" collapsed="false">
      <c r="A38" s="7" t="s">
        <v>111</v>
      </c>
      <c r="B38" s="7" t="s">
        <v>112</v>
      </c>
      <c r="C38" s="7" t="s">
        <v>33</v>
      </c>
      <c r="D38" s="7" t="s">
        <v>34</v>
      </c>
    </row>
    <row r="39" customFormat="false" ht="15" hidden="false" customHeight="false" outlineLevel="0" collapsed="false">
      <c r="A39" s="8" t="s">
        <v>113</v>
      </c>
      <c r="B39" s="8" t="s">
        <v>114</v>
      </c>
      <c r="C39" s="8" t="s">
        <v>39</v>
      </c>
      <c r="D39" s="8" t="s">
        <v>40</v>
      </c>
    </row>
    <row r="40" customFormat="false" ht="15" hidden="false" customHeight="false" outlineLevel="0" collapsed="false">
      <c r="A40" s="7" t="s">
        <v>115</v>
      </c>
      <c r="B40" s="7" t="s">
        <v>116</v>
      </c>
      <c r="C40" s="7" t="s">
        <v>33</v>
      </c>
      <c r="D40" s="7" t="s">
        <v>34</v>
      </c>
    </row>
    <row r="41" customFormat="false" ht="15" hidden="false" customHeight="false" outlineLevel="0" collapsed="false">
      <c r="A41" s="7" t="s">
        <v>117</v>
      </c>
      <c r="B41" s="7" t="s">
        <v>118</v>
      </c>
      <c r="C41" s="7" t="s">
        <v>33</v>
      </c>
      <c r="D41" s="7" t="s">
        <v>34</v>
      </c>
    </row>
    <row r="42" customFormat="false" ht="15" hidden="false" customHeight="false" outlineLevel="0" collapsed="false">
      <c r="A42" s="7" t="s">
        <v>119</v>
      </c>
      <c r="B42" s="7" t="s">
        <v>120</v>
      </c>
      <c r="C42" s="7" t="s">
        <v>33</v>
      </c>
      <c r="D42" s="7" t="s">
        <v>34</v>
      </c>
    </row>
    <row r="43" customFormat="false" ht="15" hidden="false" customHeight="false" outlineLevel="0" collapsed="false">
      <c r="A43" s="7" t="s">
        <v>121</v>
      </c>
      <c r="B43" s="7" t="s">
        <v>122</v>
      </c>
      <c r="C43" s="7" t="s">
        <v>33</v>
      </c>
      <c r="D43" s="7" t="s">
        <v>34</v>
      </c>
    </row>
    <row r="44" customFormat="false" ht="15" hidden="false" customHeight="false" outlineLevel="0" collapsed="false">
      <c r="A44" s="8" t="s">
        <v>123</v>
      </c>
      <c r="B44" s="8" t="s">
        <v>124</v>
      </c>
      <c r="C44" s="8" t="s">
        <v>39</v>
      </c>
      <c r="D44" s="8" t="s">
        <v>40</v>
      </c>
    </row>
    <row r="45" customFormat="false" ht="15" hidden="false" customHeight="false" outlineLevel="0" collapsed="false">
      <c r="A45" s="7" t="s">
        <v>125</v>
      </c>
      <c r="B45" s="7" t="s">
        <v>126</v>
      </c>
      <c r="C45" s="7" t="s">
        <v>33</v>
      </c>
      <c r="D45" s="7" t="s">
        <v>34</v>
      </c>
    </row>
    <row r="46" customFormat="false" ht="15" hidden="false" customHeight="false" outlineLevel="0" collapsed="false">
      <c r="A46" s="7" t="s">
        <v>127</v>
      </c>
      <c r="B46" s="7" t="s">
        <v>128</v>
      </c>
      <c r="C46" s="7" t="s">
        <v>33</v>
      </c>
      <c r="D46" s="7" t="s">
        <v>34</v>
      </c>
    </row>
    <row r="47" customFormat="false" ht="15" hidden="false" customHeight="false" outlineLevel="0" collapsed="false">
      <c r="A47" s="7" t="s">
        <v>129</v>
      </c>
      <c r="B47" s="7" t="s">
        <v>130</v>
      </c>
      <c r="C47" s="7" t="s">
        <v>33</v>
      </c>
      <c r="D47" s="7" t="s">
        <v>34</v>
      </c>
    </row>
    <row r="48" customFormat="false" ht="15" hidden="false" customHeight="false" outlineLevel="0" collapsed="false">
      <c r="A48" s="9" t="s">
        <v>131</v>
      </c>
      <c r="B48" s="9" t="s">
        <v>132</v>
      </c>
      <c r="C48" s="9" t="s">
        <v>47</v>
      </c>
      <c r="D48" s="9" t="s">
        <v>48</v>
      </c>
    </row>
    <row r="49" customFormat="false" ht="15" hidden="false" customHeight="false" outlineLevel="0" collapsed="false">
      <c r="A49" s="9" t="s">
        <v>133</v>
      </c>
      <c r="B49" s="9" t="s">
        <v>134</v>
      </c>
      <c r="C49" s="9" t="s">
        <v>47</v>
      </c>
      <c r="D49" s="9" t="s">
        <v>48</v>
      </c>
    </row>
    <row r="50" customFormat="false" ht="15" hidden="false" customHeight="false" outlineLevel="0" collapsed="false">
      <c r="A50" s="9" t="s">
        <v>135</v>
      </c>
      <c r="B50" s="9" t="s">
        <v>136</v>
      </c>
      <c r="C50" s="9" t="s">
        <v>47</v>
      </c>
      <c r="D50" s="9" t="s">
        <v>48</v>
      </c>
    </row>
    <row r="51" customFormat="false" ht="15" hidden="false" customHeight="false" outlineLevel="0" collapsed="false">
      <c r="A51" s="7" t="s">
        <v>137</v>
      </c>
      <c r="B51" s="7" t="s">
        <v>138</v>
      </c>
      <c r="C51" s="7" t="s">
        <v>33</v>
      </c>
      <c r="D51" s="7" t="s">
        <v>34</v>
      </c>
    </row>
    <row r="52" customFormat="false" ht="15" hidden="false" customHeight="false" outlineLevel="0" collapsed="false">
      <c r="A52" s="8" t="s">
        <v>139</v>
      </c>
      <c r="B52" s="8" t="s">
        <v>140</v>
      </c>
      <c r="C52" s="8" t="s">
        <v>39</v>
      </c>
      <c r="D52" s="8" t="s">
        <v>40</v>
      </c>
    </row>
    <row r="53" customFormat="false" ht="15" hidden="false" customHeight="false" outlineLevel="0" collapsed="false">
      <c r="A53" s="9" t="s">
        <v>141</v>
      </c>
      <c r="B53" s="9" t="s">
        <v>142</v>
      </c>
      <c r="C53" s="9" t="s">
        <v>47</v>
      </c>
      <c r="D53" s="9" t="s">
        <v>48</v>
      </c>
    </row>
    <row r="54" customFormat="false" ht="15" hidden="false" customHeight="false" outlineLevel="0" collapsed="false">
      <c r="A54" s="7" t="s">
        <v>143</v>
      </c>
      <c r="B54" s="7" t="s">
        <v>144</v>
      </c>
      <c r="C54" s="7" t="s">
        <v>33</v>
      </c>
      <c r="D54" s="7" t="s">
        <v>34</v>
      </c>
    </row>
    <row r="55" customFormat="false" ht="15" hidden="false" customHeight="false" outlineLevel="0" collapsed="false">
      <c r="A55" s="7" t="s">
        <v>145</v>
      </c>
      <c r="B55" s="7" t="s">
        <v>146</v>
      </c>
      <c r="C55" s="7" t="s">
        <v>33</v>
      </c>
      <c r="D55" s="7" t="s">
        <v>34</v>
      </c>
    </row>
    <row r="56" customFormat="false" ht="15" hidden="false" customHeight="false" outlineLevel="0" collapsed="false">
      <c r="A56" s="8" t="s">
        <v>147</v>
      </c>
      <c r="B56" s="8" t="s">
        <v>148</v>
      </c>
      <c r="C56" s="8" t="s">
        <v>39</v>
      </c>
      <c r="D56" s="8" t="s">
        <v>40</v>
      </c>
    </row>
    <row r="57" customFormat="false" ht="15" hidden="false" customHeight="false" outlineLevel="0" collapsed="false">
      <c r="A57" s="7" t="s">
        <v>149</v>
      </c>
      <c r="B57" s="7" t="s">
        <v>150</v>
      </c>
      <c r="C57" s="7" t="s">
        <v>33</v>
      </c>
      <c r="D57" s="7" t="s">
        <v>34</v>
      </c>
    </row>
    <row r="58" customFormat="false" ht="15" hidden="false" customHeight="false" outlineLevel="0" collapsed="false">
      <c r="A58" s="8" t="s">
        <v>151</v>
      </c>
      <c r="B58" s="8" t="s">
        <v>152</v>
      </c>
      <c r="C58" s="8" t="s">
        <v>39</v>
      </c>
      <c r="D58" s="8" t="s">
        <v>40</v>
      </c>
    </row>
    <row r="59" customFormat="false" ht="15" hidden="false" customHeight="false" outlineLevel="0" collapsed="false">
      <c r="A59" s="8" t="s">
        <v>153</v>
      </c>
      <c r="B59" s="8" t="s">
        <v>154</v>
      </c>
      <c r="C59" s="8" t="s">
        <v>39</v>
      </c>
      <c r="D59" s="8" t="s">
        <v>40</v>
      </c>
    </row>
    <row r="60" customFormat="false" ht="15" hidden="false" customHeight="false" outlineLevel="0" collapsed="false">
      <c r="A60" s="7" t="s">
        <v>155</v>
      </c>
      <c r="B60" s="7" t="s">
        <v>156</v>
      </c>
      <c r="C60" s="7" t="s">
        <v>33</v>
      </c>
      <c r="D60" s="7" t="s">
        <v>34</v>
      </c>
    </row>
    <row r="61" customFormat="false" ht="15" hidden="false" customHeight="false" outlineLevel="0" collapsed="false">
      <c r="A61" s="7" t="s">
        <v>157</v>
      </c>
      <c r="B61" s="7" t="s">
        <v>158</v>
      </c>
      <c r="C61" s="7" t="s">
        <v>33</v>
      </c>
      <c r="D61" s="7" t="s">
        <v>34</v>
      </c>
    </row>
    <row r="62" customFormat="false" ht="15" hidden="false" customHeight="false" outlineLevel="0" collapsed="false">
      <c r="A62" s="7" t="s">
        <v>159</v>
      </c>
      <c r="B62" s="7" t="s">
        <v>160</v>
      </c>
      <c r="C62" s="7" t="s">
        <v>33</v>
      </c>
      <c r="D62" s="7" t="s">
        <v>34</v>
      </c>
    </row>
    <row r="63" customFormat="false" ht="15" hidden="false" customHeight="false" outlineLevel="0" collapsed="false">
      <c r="A63" s="7" t="s">
        <v>161</v>
      </c>
      <c r="B63" s="7" t="s">
        <v>162</v>
      </c>
      <c r="C63" s="7" t="s">
        <v>33</v>
      </c>
      <c r="D63" s="7" t="s">
        <v>34</v>
      </c>
    </row>
    <row r="64" customFormat="false" ht="15" hidden="false" customHeight="false" outlineLevel="0" collapsed="false">
      <c r="A64" s="7" t="s">
        <v>163</v>
      </c>
      <c r="B64" s="7" t="s">
        <v>164</v>
      </c>
      <c r="C64" s="7" t="s">
        <v>33</v>
      </c>
      <c r="D64" s="7" t="s">
        <v>34</v>
      </c>
    </row>
    <row r="65" customFormat="false" ht="15" hidden="false" customHeight="false" outlineLevel="0" collapsed="false">
      <c r="A65" s="8" t="s">
        <v>165</v>
      </c>
      <c r="B65" s="8" t="s">
        <v>166</v>
      </c>
      <c r="C65" s="8" t="s">
        <v>39</v>
      </c>
      <c r="D65" s="8" t="s">
        <v>40</v>
      </c>
    </row>
    <row r="66" customFormat="false" ht="15" hidden="false" customHeight="false" outlineLevel="0" collapsed="false">
      <c r="A66" s="7" t="s">
        <v>167</v>
      </c>
      <c r="B66" s="7" t="s">
        <v>168</v>
      </c>
      <c r="C66" s="7" t="s">
        <v>33</v>
      </c>
      <c r="D66" s="7" t="s">
        <v>34</v>
      </c>
    </row>
    <row r="67" customFormat="false" ht="15" hidden="false" customHeight="false" outlineLevel="0" collapsed="false">
      <c r="A67" s="7" t="s">
        <v>169</v>
      </c>
      <c r="B67" s="7" t="s">
        <v>170</v>
      </c>
      <c r="C67" s="7" t="s">
        <v>33</v>
      </c>
      <c r="D67" s="7" t="s">
        <v>34</v>
      </c>
    </row>
    <row r="68" customFormat="false" ht="15" hidden="false" customHeight="false" outlineLevel="0" collapsed="false">
      <c r="A68" s="7" t="s">
        <v>171</v>
      </c>
      <c r="B68" s="7" t="s">
        <v>172</v>
      </c>
      <c r="C68" s="7" t="s">
        <v>33</v>
      </c>
      <c r="D68" s="7" t="s">
        <v>34</v>
      </c>
    </row>
    <row r="69" customFormat="false" ht="15" hidden="false" customHeight="false" outlineLevel="0" collapsed="false">
      <c r="A69" s="7" t="s">
        <v>173</v>
      </c>
      <c r="B69" s="7" t="s">
        <v>174</v>
      </c>
      <c r="C69" s="7" t="s">
        <v>33</v>
      </c>
      <c r="D69" s="7" t="s">
        <v>34</v>
      </c>
    </row>
    <row r="70" customFormat="false" ht="15" hidden="false" customHeight="false" outlineLevel="0" collapsed="false">
      <c r="A70" s="7" t="s">
        <v>175</v>
      </c>
      <c r="B70" s="7" t="s">
        <v>176</v>
      </c>
      <c r="C70" s="7" t="s">
        <v>33</v>
      </c>
      <c r="D70" s="7" t="s">
        <v>34</v>
      </c>
    </row>
    <row r="71" customFormat="false" ht="15" hidden="false" customHeight="false" outlineLevel="0" collapsed="false">
      <c r="A71" s="7" t="s">
        <v>177</v>
      </c>
      <c r="B71" s="7" t="s">
        <v>178</v>
      </c>
      <c r="C71" s="7" t="s">
        <v>33</v>
      </c>
      <c r="D71" s="7" t="s">
        <v>34</v>
      </c>
    </row>
    <row r="72" customFormat="false" ht="15" hidden="false" customHeight="false" outlineLevel="0" collapsed="false">
      <c r="A72" s="7" t="s">
        <v>179</v>
      </c>
      <c r="B72" s="7" t="s">
        <v>180</v>
      </c>
      <c r="C72" s="7" t="s">
        <v>33</v>
      </c>
      <c r="D72" s="7" t="s">
        <v>34</v>
      </c>
    </row>
    <row r="73" customFormat="false" ht="15" hidden="false" customHeight="false" outlineLevel="0" collapsed="false">
      <c r="A73" s="8" t="s">
        <v>181</v>
      </c>
      <c r="B73" s="8" t="s">
        <v>182</v>
      </c>
      <c r="C73" s="8" t="s">
        <v>39</v>
      </c>
      <c r="D73" s="8" t="s">
        <v>40</v>
      </c>
    </row>
    <row r="74" customFormat="false" ht="15" hidden="false" customHeight="false" outlineLevel="0" collapsed="false">
      <c r="A74" s="9" t="s">
        <v>183</v>
      </c>
      <c r="B74" s="9" t="s">
        <v>184</v>
      </c>
      <c r="C74" s="9" t="s">
        <v>47</v>
      </c>
      <c r="D74" s="9" t="s">
        <v>48</v>
      </c>
    </row>
    <row r="75" customFormat="false" ht="15" hidden="false" customHeight="false" outlineLevel="0" collapsed="false">
      <c r="A75" s="7" t="s">
        <v>185</v>
      </c>
      <c r="B75" s="7" t="s">
        <v>186</v>
      </c>
      <c r="C75" s="7" t="s">
        <v>33</v>
      </c>
      <c r="D75" s="7" t="s">
        <v>34</v>
      </c>
    </row>
    <row r="76" customFormat="false" ht="15" hidden="false" customHeight="false" outlineLevel="0" collapsed="false">
      <c r="A76" s="7" t="s">
        <v>187</v>
      </c>
      <c r="B76" s="7" t="s">
        <v>188</v>
      </c>
      <c r="C76" s="7" t="s">
        <v>33</v>
      </c>
      <c r="D76" s="7" t="s">
        <v>34</v>
      </c>
    </row>
    <row r="77" customFormat="false" ht="15" hidden="false" customHeight="false" outlineLevel="0" collapsed="false">
      <c r="A77" s="8" t="s">
        <v>189</v>
      </c>
      <c r="B77" s="8" t="s">
        <v>190</v>
      </c>
      <c r="C77" s="8" t="s">
        <v>39</v>
      </c>
      <c r="D77" s="8" t="s">
        <v>40</v>
      </c>
    </row>
    <row r="78" customFormat="false" ht="15" hidden="false" customHeight="false" outlineLevel="0" collapsed="false">
      <c r="A78" s="7" t="s">
        <v>191</v>
      </c>
      <c r="B78" s="7" t="s">
        <v>192</v>
      </c>
      <c r="C78" s="7" t="s">
        <v>33</v>
      </c>
      <c r="D78" s="7" t="s">
        <v>34</v>
      </c>
    </row>
    <row r="79" customFormat="false" ht="15" hidden="false" customHeight="false" outlineLevel="0" collapsed="false">
      <c r="A79" s="7" t="s">
        <v>193</v>
      </c>
      <c r="B79" s="7" t="s">
        <v>194</v>
      </c>
      <c r="C79" s="7" t="s">
        <v>33</v>
      </c>
      <c r="D79" s="7" t="s">
        <v>34</v>
      </c>
    </row>
    <row r="80" customFormat="false" ht="15" hidden="false" customHeight="false" outlineLevel="0" collapsed="false">
      <c r="A80" s="9" t="s">
        <v>195</v>
      </c>
      <c r="B80" s="9" t="s">
        <v>196</v>
      </c>
      <c r="C80" s="9" t="s">
        <v>47</v>
      </c>
      <c r="D80" s="9" t="s">
        <v>48</v>
      </c>
    </row>
    <row r="81" customFormat="false" ht="15" hidden="false" customHeight="false" outlineLevel="0" collapsed="false">
      <c r="A81" s="7" t="s">
        <v>197</v>
      </c>
      <c r="B81" s="7" t="s">
        <v>198</v>
      </c>
      <c r="C81" s="7" t="s">
        <v>33</v>
      </c>
      <c r="D81" s="7" t="s">
        <v>34</v>
      </c>
    </row>
    <row r="82" customFormat="false" ht="15" hidden="false" customHeight="false" outlineLevel="0" collapsed="false">
      <c r="A82" s="8" t="s">
        <v>199</v>
      </c>
      <c r="B82" s="8" t="s">
        <v>200</v>
      </c>
      <c r="C82" s="8" t="s">
        <v>39</v>
      </c>
      <c r="D82" s="8" t="s">
        <v>40</v>
      </c>
    </row>
    <row r="83" customFormat="false" ht="15" hidden="false" customHeight="false" outlineLevel="0" collapsed="false">
      <c r="A83" s="8" t="s">
        <v>201</v>
      </c>
      <c r="B83" s="8" t="s">
        <v>202</v>
      </c>
      <c r="C83" s="8" t="s">
        <v>39</v>
      </c>
      <c r="D83" s="8" t="s">
        <v>40</v>
      </c>
    </row>
    <row r="84" customFormat="false" ht="15" hidden="false" customHeight="false" outlineLevel="0" collapsed="false">
      <c r="A84" s="7" t="s">
        <v>203</v>
      </c>
      <c r="B84" s="7" t="s">
        <v>204</v>
      </c>
      <c r="C84" s="7" t="s">
        <v>33</v>
      </c>
      <c r="D84" s="7" t="s">
        <v>34</v>
      </c>
    </row>
    <row r="85" customFormat="false" ht="15" hidden="false" customHeight="false" outlineLevel="0" collapsed="false">
      <c r="A85" s="7" t="s">
        <v>205</v>
      </c>
      <c r="B85" s="7" t="s">
        <v>206</v>
      </c>
      <c r="C85" s="7" t="s">
        <v>33</v>
      </c>
      <c r="D85" s="7" t="s">
        <v>34</v>
      </c>
    </row>
    <row r="86" customFormat="false" ht="15" hidden="false" customHeight="false" outlineLevel="0" collapsed="false">
      <c r="A86" s="7" t="s">
        <v>207</v>
      </c>
      <c r="B86" s="7" t="s">
        <v>208</v>
      </c>
      <c r="C86" s="7" t="s">
        <v>33</v>
      </c>
      <c r="D86" s="7" t="s">
        <v>34</v>
      </c>
    </row>
    <row r="87" customFormat="false" ht="15" hidden="false" customHeight="false" outlineLevel="0" collapsed="false">
      <c r="A87" s="7" t="s">
        <v>209</v>
      </c>
      <c r="B87" s="7" t="s">
        <v>210</v>
      </c>
      <c r="C87" s="7" t="s">
        <v>33</v>
      </c>
      <c r="D87" s="7" t="s">
        <v>34</v>
      </c>
    </row>
    <row r="88" customFormat="false" ht="15" hidden="false" customHeight="false" outlineLevel="0" collapsed="false">
      <c r="A88" s="7" t="s">
        <v>211</v>
      </c>
      <c r="B88" s="7" t="s">
        <v>212</v>
      </c>
      <c r="C88" s="7" t="s">
        <v>33</v>
      </c>
      <c r="D88" s="7" t="s">
        <v>34</v>
      </c>
    </row>
    <row r="89" customFormat="false" ht="15" hidden="false" customHeight="false" outlineLevel="0" collapsed="false">
      <c r="A89" s="7" t="s">
        <v>213</v>
      </c>
      <c r="B89" s="7" t="s">
        <v>214</v>
      </c>
      <c r="C89" s="7" t="s">
        <v>33</v>
      </c>
      <c r="D89" s="7" t="s">
        <v>34</v>
      </c>
    </row>
    <row r="90" customFormat="false" ht="15" hidden="false" customHeight="false" outlineLevel="0" collapsed="false">
      <c r="A90" s="7" t="s">
        <v>215</v>
      </c>
      <c r="B90" s="7" t="s">
        <v>216</v>
      </c>
      <c r="C90" s="7" t="s">
        <v>33</v>
      </c>
      <c r="D90" s="7" t="s">
        <v>34</v>
      </c>
    </row>
    <row r="91" customFormat="false" ht="15" hidden="false" customHeight="false" outlineLevel="0" collapsed="false">
      <c r="A91" s="7" t="s">
        <v>217</v>
      </c>
      <c r="B91" s="7" t="s">
        <v>218</v>
      </c>
      <c r="C91" s="7" t="s">
        <v>33</v>
      </c>
      <c r="D91" s="7" t="s">
        <v>34</v>
      </c>
    </row>
    <row r="92" customFormat="false" ht="15" hidden="false" customHeight="false" outlineLevel="0" collapsed="false">
      <c r="A92" s="7" t="s">
        <v>219</v>
      </c>
      <c r="B92" s="7" t="s">
        <v>220</v>
      </c>
      <c r="C92" s="7" t="s">
        <v>33</v>
      </c>
      <c r="D92" s="7" t="s">
        <v>34</v>
      </c>
    </row>
    <row r="93" customFormat="false" ht="15" hidden="false" customHeight="false" outlineLevel="0" collapsed="false">
      <c r="A93" s="7" t="s">
        <v>221</v>
      </c>
      <c r="B93" s="7" t="s">
        <v>222</v>
      </c>
      <c r="C93" s="7" t="s">
        <v>33</v>
      </c>
      <c r="D93" s="7" t="s">
        <v>34</v>
      </c>
    </row>
    <row r="94" customFormat="false" ht="15" hidden="false" customHeight="false" outlineLevel="0" collapsed="false">
      <c r="A94" s="9" t="s">
        <v>223</v>
      </c>
      <c r="B94" s="9" t="s">
        <v>224</v>
      </c>
      <c r="C94" s="9" t="s">
        <v>47</v>
      </c>
      <c r="D94" s="9" t="s">
        <v>48</v>
      </c>
    </row>
    <row r="95" customFormat="false" ht="15" hidden="false" customHeight="false" outlineLevel="0" collapsed="false">
      <c r="A95" s="8" t="s">
        <v>225</v>
      </c>
      <c r="B95" s="8" t="s">
        <v>226</v>
      </c>
      <c r="C95" s="8" t="s">
        <v>39</v>
      </c>
      <c r="D95" s="8" t="s">
        <v>40</v>
      </c>
    </row>
    <row r="96" customFormat="false" ht="15" hidden="false" customHeight="false" outlineLevel="0" collapsed="false">
      <c r="A96" s="7" t="s">
        <v>227</v>
      </c>
      <c r="B96" s="7" t="s">
        <v>228</v>
      </c>
      <c r="C96" s="7" t="s">
        <v>33</v>
      </c>
      <c r="D96" s="7" t="s">
        <v>34</v>
      </c>
    </row>
    <row r="97" customFormat="false" ht="15" hidden="false" customHeight="false" outlineLevel="0" collapsed="false">
      <c r="A97" s="9" t="s">
        <v>229</v>
      </c>
      <c r="B97" s="9" t="s">
        <v>230</v>
      </c>
      <c r="C97" s="9" t="s">
        <v>81</v>
      </c>
      <c r="D97" s="9" t="s">
        <v>82</v>
      </c>
    </row>
    <row r="98" customFormat="false" ht="15" hidden="false" customHeight="false" outlineLevel="0" collapsed="false">
      <c r="A98" s="9" t="s">
        <v>231</v>
      </c>
      <c r="B98" s="9" t="s">
        <v>232</v>
      </c>
      <c r="C98" s="9" t="s">
        <v>47</v>
      </c>
      <c r="D98" s="9" t="s">
        <v>48</v>
      </c>
    </row>
    <row r="99" customFormat="false" ht="15" hidden="false" customHeight="false" outlineLevel="0" collapsed="false">
      <c r="A99" s="7" t="s">
        <v>233</v>
      </c>
      <c r="B99" s="7" t="s">
        <v>234</v>
      </c>
      <c r="C99" s="7" t="s">
        <v>33</v>
      </c>
      <c r="D99" s="7" t="s">
        <v>34</v>
      </c>
    </row>
    <row r="100" customFormat="false" ht="15" hidden="false" customHeight="false" outlineLevel="0" collapsed="false">
      <c r="A100" s="8" t="s">
        <v>235</v>
      </c>
      <c r="B100" s="8" t="s">
        <v>236</v>
      </c>
      <c r="C100" s="8" t="s">
        <v>39</v>
      </c>
      <c r="D100" s="8" t="s">
        <v>40</v>
      </c>
    </row>
    <row r="101" customFormat="false" ht="15" hidden="false" customHeight="false" outlineLevel="0" collapsed="false">
      <c r="A101" s="8" t="s">
        <v>237</v>
      </c>
      <c r="B101" s="8" t="s">
        <v>238</v>
      </c>
      <c r="C101" s="8" t="s">
        <v>39</v>
      </c>
      <c r="D101" s="8" t="s">
        <v>40</v>
      </c>
    </row>
    <row r="102" customFormat="false" ht="15" hidden="false" customHeight="false" outlineLevel="0" collapsed="false">
      <c r="A102" s="9" t="s">
        <v>239</v>
      </c>
      <c r="B102" s="9" t="s">
        <v>240</v>
      </c>
      <c r="C102" s="9" t="s">
        <v>47</v>
      </c>
      <c r="D102" s="9" t="s">
        <v>48</v>
      </c>
    </row>
    <row r="103" customFormat="false" ht="15" hidden="false" customHeight="false" outlineLevel="0" collapsed="false">
      <c r="A103" s="7" t="s">
        <v>241</v>
      </c>
      <c r="B103" s="7" t="s">
        <v>242</v>
      </c>
      <c r="C103" s="7" t="s">
        <v>33</v>
      </c>
      <c r="D103" s="7" t="s">
        <v>34</v>
      </c>
    </row>
    <row r="104" customFormat="false" ht="15" hidden="false" customHeight="false" outlineLevel="0" collapsed="false">
      <c r="A104" s="9" t="s">
        <v>243</v>
      </c>
      <c r="B104" s="9" t="s">
        <v>244</v>
      </c>
      <c r="C104" s="9" t="s">
        <v>47</v>
      </c>
      <c r="D104" s="9" t="s">
        <v>48</v>
      </c>
    </row>
    <row r="105" customFormat="false" ht="15" hidden="false" customHeight="false" outlineLevel="0" collapsed="false">
      <c r="A105" s="7" t="s">
        <v>245</v>
      </c>
      <c r="B105" s="7" t="s">
        <v>246</v>
      </c>
      <c r="C105" s="7" t="s">
        <v>33</v>
      </c>
      <c r="D105" s="7" t="s">
        <v>34</v>
      </c>
    </row>
    <row r="106" customFormat="false" ht="15" hidden="false" customHeight="false" outlineLevel="0" collapsed="false">
      <c r="A106" s="7" t="s">
        <v>247</v>
      </c>
      <c r="B106" s="7" t="s">
        <v>248</v>
      </c>
      <c r="C106" s="7" t="s">
        <v>33</v>
      </c>
      <c r="D106" s="7" t="s">
        <v>34</v>
      </c>
    </row>
    <row r="107" customFormat="false" ht="15" hidden="false" customHeight="false" outlineLevel="0" collapsed="false">
      <c r="A107" s="7" t="s">
        <v>249</v>
      </c>
      <c r="B107" s="7" t="s">
        <v>250</v>
      </c>
      <c r="C107" s="7" t="s">
        <v>33</v>
      </c>
      <c r="D107" s="7" t="s">
        <v>34</v>
      </c>
    </row>
    <row r="108" customFormat="false" ht="15" hidden="false" customHeight="false" outlineLevel="0" collapsed="false">
      <c r="A108" s="7" t="s">
        <v>251</v>
      </c>
      <c r="B108" s="7" t="s">
        <v>252</v>
      </c>
      <c r="C108" s="7" t="s">
        <v>33</v>
      </c>
      <c r="D108" s="7" t="s">
        <v>34</v>
      </c>
    </row>
    <row r="109" customFormat="false" ht="15" hidden="false" customHeight="false" outlineLevel="0" collapsed="false">
      <c r="A109" s="7" t="s">
        <v>253</v>
      </c>
      <c r="B109" s="7" t="s">
        <v>254</v>
      </c>
      <c r="C109" s="7" t="s">
        <v>33</v>
      </c>
      <c r="D109" s="7" t="s">
        <v>34</v>
      </c>
    </row>
    <row r="110" customFormat="false" ht="15" hidden="false" customHeight="false" outlineLevel="0" collapsed="false">
      <c r="A110" s="7" t="s">
        <v>255</v>
      </c>
      <c r="B110" s="7" t="s">
        <v>256</v>
      </c>
      <c r="C110" s="7" t="s">
        <v>33</v>
      </c>
      <c r="D110" s="7" t="s">
        <v>34</v>
      </c>
    </row>
    <row r="111" customFormat="false" ht="15" hidden="false" customHeight="false" outlineLevel="0" collapsed="false">
      <c r="A111" s="7" t="s">
        <v>257</v>
      </c>
      <c r="B111" s="7" t="s">
        <v>258</v>
      </c>
      <c r="C111" s="7" t="s">
        <v>33</v>
      </c>
      <c r="D111" s="7" t="s">
        <v>34</v>
      </c>
    </row>
    <row r="112" customFormat="false" ht="15" hidden="false" customHeight="false" outlineLevel="0" collapsed="false">
      <c r="A112" s="7" t="s">
        <v>259</v>
      </c>
      <c r="B112" s="7" t="s">
        <v>260</v>
      </c>
      <c r="C112" s="7" t="s">
        <v>33</v>
      </c>
      <c r="D112" s="7" t="s">
        <v>34</v>
      </c>
    </row>
    <row r="113" customFormat="false" ht="15" hidden="false" customHeight="false" outlineLevel="0" collapsed="false">
      <c r="A113" s="7" t="s">
        <v>261</v>
      </c>
      <c r="B113" s="7" t="s">
        <v>262</v>
      </c>
      <c r="C113" s="7" t="s">
        <v>33</v>
      </c>
      <c r="D113" s="7" t="s">
        <v>34</v>
      </c>
    </row>
    <row r="114" customFormat="false" ht="15" hidden="false" customHeight="false" outlineLevel="0" collapsed="false">
      <c r="A114" s="7" t="s">
        <v>263</v>
      </c>
      <c r="B114" s="7" t="s">
        <v>264</v>
      </c>
      <c r="C114" s="7" t="s">
        <v>33</v>
      </c>
      <c r="D114" s="7" t="s">
        <v>34</v>
      </c>
    </row>
    <row r="115" customFormat="false" ht="15" hidden="false" customHeight="false" outlineLevel="0" collapsed="false">
      <c r="A115" s="7" t="s">
        <v>265</v>
      </c>
      <c r="B115" s="7" t="s">
        <v>266</v>
      </c>
      <c r="C115" s="7" t="s">
        <v>33</v>
      </c>
      <c r="D115" s="7" t="s">
        <v>34</v>
      </c>
    </row>
    <row r="116" customFormat="false" ht="15" hidden="false" customHeight="false" outlineLevel="0" collapsed="false">
      <c r="A116" s="7" t="s">
        <v>267</v>
      </c>
      <c r="B116" s="7" t="s">
        <v>268</v>
      </c>
      <c r="C116" s="7" t="s">
        <v>33</v>
      </c>
      <c r="D116" s="7" t="s">
        <v>34</v>
      </c>
    </row>
    <row r="117" customFormat="false" ht="15" hidden="false" customHeight="false" outlineLevel="0" collapsed="false">
      <c r="A117" s="7" t="s">
        <v>269</v>
      </c>
      <c r="B117" s="7" t="s">
        <v>270</v>
      </c>
      <c r="C117" s="7" t="s">
        <v>33</v>
      </c>
      <c r="D117" s="7" t="s">
        <v>34</v>
      </c>
    </row>
    <row r="118" customFormat="false" ht="15" hidden="false" customHeight="false" outlineLevel="0" collapsed="false">
      <c r="A118" s="9" t="s">
        <v>271</v>
      </c>
      <c r="B118" s="9" t="s">
        <v>272</v>
      </c>
      <c r="C118" s="9" t="s">
        <v>47</v>
      </c>
      <c r="D118" s="9" t="s">
        <v>48</v>
      </c>
    </row>
    <row r="119" customFormat="false" ht="15" hidden="false" customHeight="false" outlineLevel="0" collapsed="false">
      <c r="A119" s="7" t="s">
        <v>273</v>
      </c>
      <c r="B119" s="7" t="s">
        <v>274</v>
      </c>
      <c r="C119" s="7" t="s">
        <v>33</v>
      </c>
      <c r="D119" s="7" t="s">
        <v>34</v>
      </c>
    </row>
    <row r="120" customFormat="false" ht="15" hidden="false" customHeight="false" outlineLevel="0" collapsed="false">
      <c r="A120" s="9" t="s">
        <v>275</v>
      </c>
      <c r="B120" s="9" t="s">
        <v>276</v>
      </c>
      <c r="C120" s="9" t="s">
        <v>47</v>
      </c>
      <c r="D120" s="9" t="s">
        <v>48</v>
      </c>
    </row>
    <row r="121" customFormat="false" ht="15" hidden="false" customHeight="false" outlineLevel="0" collapsed="false">
      <c r="A121" s="7" t="s">
        <v>277</v>
      </c>
      <c r="B121" s="7" t="s">
        <v>278</v>
      </c>
      <c r="C121" s="7" t="s">
        <v>33</v>
      </c>
      <c r="D121" s="7" t="s">
        <v>34</v>
      </c>
    </row>
    <row r="122" customFormat="false" ht="15" hidden="false" customHeight="false" outlineLevel="0" collapsed="false">
      <c r="A122" s="8" t="s">
        <v>279</v>
      </c>
      <c r="B122" s="8" t="s">
        <v>280</v>
      </c>
      <c r="C122" s="8" t="s">
        <v>39</v>
      </c>
      <c r="D122" s="8" t="s">
        <v>40</v>
      </c>
    </row>
    <row r="123" customFormat="false" ht="15" hidden="false" customHeight="false" outlineLevel="0" collapsed="false">
      <c r="A123" s="7" t="s">
        <v>281</v>
      </c>
      <c r="B123" s="7" t="s">
        <v>282</v>
      </c>
      <c r="C123" s="7" t="s">
        <v>33</v>
      </c>
      <c r="D123" s="7" t="s">
        <v>34</v>
      </c>
    </row>
    <row r="124" customFormat="false" ht="15" hidden="false" customHeight="false" outlineLevel="0" collapsed="false">
      <c r="A124" s="7" t="s">
        <v>283</v>
      </c>
      <c r="B124" s="7" t="s">
        <v>284</v>
      </c>
      <c r="C124" s="7" t="s">
        <v>33</v>
      </c>
      <c r="D124" s="7" t="s">
        <v>34</v>
      </c>
    </row>
    <row r="125" customFormat="false" ht="15" hidden="false" customHeight="false" outlineLevel="0" collapsed="false">
      <c r="A125" s="7" t="s">
        <v>285</v>
      </c>
      <c r="B125" s="7" t="s">
        <v>286</v>
      </c>
      <c r="C125" s="7" t="s">
        <v>33</v>
      </c>
      <c r="D125" s="7" t="s">
        <v>34</v>
      </c>
    </row>
    <row r="126" customFormat="false" ht="15" hidden="false" customHeight="false" outlineLevel="0" collapsed="false">
      <c r="A126" s="7" t="s">
        <v>287</v>
      </c>
      <c r="B126" s="7" t="s">
        <v>288</v>
      </c>
      <c r="C126" s="7" t="s">
        <v>33</v>
      </c>
      <c r="D126" s="7" t="s">
        <v>34</v>
      </c>
    </row>
    <row r="127" customFormat="false" ht="15" hidden="false" customHeight="false" outlineLevel="0" collapsed="false">
      <c r="A127" s="7" t="s">
        <v>289</v>
      </c>
      <c r="B127" s="7" t="s">
        <v>290</v>
      </c>
      <c r="C127" s="7" t="s">
        <v>33</v>
      </c>
      <c r="D127" s="7" t="s">
        <v>34</v>
      </c>
    </row>
    <row r="128" customFormat="false" ht="15" hidden="false" customHeight="false" outlineLevel="0" collapsed="false">
      <c r="A128" s="7" t="s">
        <v>291</v>
      </c>
      <c r="B128" s="7" t="s">
        <v>292</v>
      </c>
      <c r="C128" s="7" t="s">
        <v>33</v>
      </c>
      <c r="D128" s="7" t="s">
        <v>34</v>
      </c>
    </row>
    <row r="129" customFormat="false" ht="15" hidden="false" customHeight="false" outlineLevel="0" collapsed="false">
      <c r="A129" s="7" t="s">
        <v>293</v>
      </c>
      <c r="B129" s="7" t="s">
        <v>294</v>
      </c>
      <c r="C129" s="7" t="s">
        <v>33</v>
      </c>
      <c r="D129" s="7" t="s">
        <v>34</v>
      </c>
    </row>
    <row r="130" customFormat="false" ht="15" hidden="false" customHeight="false" outlineLevel="0" collapsed="false">
      <c r="A130" s="7" t="s">
        <v>295</v>
      </c>
      <c r="B130" s="7" t="s">
        <v>296</v>
      </c>
      <c r="C130" s="7" t="s">
        <v>33</v>
      </c>
      <c r="D130" s="7" t="s">
        <v>34</v>
      </c>
    </row>
    <row r="131" customFormat="false" ht="15" hidden="false" customHeight="false" outlineLevel="0" collapsed="false">
      <c r="A131" s="7" t="s">
        <v>297</v>
      </c>
      <c r="B131" s="7" t="s">
        <v>298</v>
      </c>
      <c r="C131" s="7" t="s">
        <v>33</v>
      </c>
      <c r="D131" s="7" t="s">
        <v>34</v>
      </c>
    </row>
    <row r="132" customFormat="false" ht="15" hidden="false" customHeight="false" outlineLevel="0" collapsed="false">
      <c r="A132" s="7" t="s">
        <v>299</v>
      </c>
      <c r="B132" s="7" t="s">
        <v>300</v>
      </c>
      <c r="C132" s="7" t="s">
        <v>33</v>
      </c>
      <c r="D132" s="7" t="s">
        <v>34</v>
      </c>
    </row>
    <row r="133" customFormat="false" ht="15" hidden="false" customHeight="false" outlineLevel="0" collapsed="false">
      <c r="A133" s="8" t="s">
        <v>301</v>
      </c>
      <c r="B133" s="8" t="s">
        <v>302</v>
      </c>
      <c r="C133" s="8" t="s">
        <v>39</v>
      </c>
      <c r="D133" s="8" t="s">
        <v>40</v>
      </c>
    </row>
    <row r="134" customFormat="false" ht="15" hidden="false" customHeight="false" outlineLevel="0" collapsed="false">
      <c r="A134" s="9" t="s">
        <v>303</v>
      </c>
      <c r="B134" s="9" t="s">
        <v>304</v>
      </c>
      <c r="C134" s="9" t="s">
        <v>47</v>
      </c>
      <c r="D134" s="9" t="s">
        <v>48</v>
      </c>
    </row>
    <row r="135" customFormat="false" ht="15" hidden="false" customHeight="false" outlineLevel="0" collapsed="false">
      <c r="A135" s="9" t="s">
        <v>305</v>
      </c>
      <c r="B135" s="9" t="s">
        <v>306</v>
      </c>
      <c r="C135" s="9" t="s">
        <v>47</v>
      </c>
      <c r="D135" s="9" t="s">
        <v>48</v>
      </c>
    </row>
    <row r="136" customFormat="false" ht="15" hidden="false" customHeight="false" outlineLevel="0" collapsed="false">
      <c r="A136" s="9" t="s">
        <v>307</v>
      </c>
      <c r="B136" s="9" t="s">
        <v>308</v>
      </c>
      <c r="C136" s="9" t="s">
        <v>47</v>
      </c>
      <c r="D136" s="9" t="s">
        <v>48</v>
      </c>
    </row>
    <row r="137" customFormat="false" ht="15" hidden="false" customHeight="false" outlineLevel="0" collapsed="false">
      <c r="A137" s="8" t="s">
        <v>309</v>
      </c>
      <c r="B137" s="8" t="s">
        <v>310</v>
      </c>
      <c r="C137" s="8" t="s">
        <v>39</v>
      </c>
      <c r="D137" s="8" t="s">
        <v>40</v>
      </c>
    </row>
    <row r="138" customFormat="false" ht="15" hidden="false" customHeight="false" outlineLevel="0" collapsed="false">
      <c r="A138" s="7" t="s">
        <v>311</v>
      </c>
      <c r="B138" s="7" t="s">
        <v>312</v>
      </c>
      <c r="C138" s="7" t="s">
        <v>33</v>
      </c>
      <c r="D138" s="7" t="s">
        <v>34</v>
      </c>
    </row>
    <row r="139" customFormat="false" ht="15" hidden="false" customHeight="false" outlineLevel="0" collapsed="false">
      <c r="A139" s="7" t="s">
        <v>313</v>
      </c>
      <c r="B139" s="7" t="s">
        <v>314</v>
      </c>
      <c r="C139" s="7" t="s">
        <v>33</v>
      </c>
      <c r="D139" s="7" t="s">
        <v>34</v>
      </c>
    </row>
    <row r="140" customFormat="false" ht="15" hidden="false" customHeight="false" outlineLevel="0" collapsed="false">
      <c r="A140" s="7" t="s">
        <v>315</v>
      </c>
      <c r="B140" s="7" t="s">
        <v>316</v>
      </c>
      <c r="C140" s="7" t="s">
        <v>33</v>
      </c>
      <c r="D140" s="7" t="s">
        <v>34</v>
      </c>
    </row>
    <row r="141" customFormat="false" ht="15" hidden="false" customHeight="false" outlineLevel="0" collapsed="false">
      <c r="A141" s="7" t="s">
        <v>317</v>
      </c>
      <c r="B141" s="7" t="s">
        <v>318</v>
      </c>
      <c r="C141" s="7" t="s">
        <v>33</v>
      </c>
      <c r="D141" s="7" t="s">
        <v>34</v>
      </c>
    </row>
    <row r="142" customFormat="false" ht="15" hidden="false" customHeight="false" outlineLevel="0" collapsed="false">
      <c r="A142" s="7" t="s">
        <v>319</v>
      </c>
      <c r="B142" s="7" t="s">
        <v>320</v>
      </c>
      <c r="C142" s="7" t="s">
        <v>33</v>
      </c>
      <c r="D142" s="7" t="s">
        <v>34</v>
      </c>
    </row>
    <row r="143" customFormat="false" ht="15" hidden="false" customHeight="false" outlineLevel="0" collapsed="false">
      <c r="A143" s="7" t="s">
        <v>321</v>
      </c>
      <c r="B143" s="7" t="s">
        <v>322</v>
      </c>
      <c r="C143" s="7" t="s">
        <v>33</v>
      </c>
      <c r="D143" s="7" t="s">
        <v>34</v>
      </c>
    </row>
    <row r="144" customFormat="false" ht="15" hidden="false" customHeight="false" outlineLevel="0" collapsed="false">
      <c r="A144" s="7" t="s">
        <v>323</v>
      </c>
      <c r="B144" s="7" t="s">
        <v>324</v>
      </c>
      <c r="C144" s="7" t="s">
        <v>33</v>
      </c>
      <c r="D144" s="7" t="s">
        <v>34</v>
      </c>
    </row>
    <row r="145" customFormat="false" ht="15" hidden="false" customHeight="false" outlineLevel="0" collapsed="false">
      <c r="A145" s="7" t="s">
        <v>325</v>
      </c>
      <c r="B145" s="7" t="s">
        <v>326</v>
      </c>
      <c r="C145" s="7" t="s">
        <v>33</v>
      </c>
      <c r="D145" s="7" t="s">
        <v>34</v>
      </c>
    </row>
    <row r="146" customFormat="false" ht="15" hidden="false" customHeight="false" outlineLevel="0" collapsed="false">
      <c r="A146" s="8" t="s">
        <v>327</v>
      </c>
      <c r="B146" s="8" t="s">
        <v>328</v>
      </c>
      <c r="C146" s="8" t="s">
        <v>39</v>
      </c>
      <c r="D146" s="8" t="s">
        <v>40</v>
      </c>
    </row>
    <row r="147" customFormat="false" ht="15" hidden="false" customHeight="false" outlineLevel="0" collapsed="false">
      <c r="A147" s="9" t="s">
        <v>329</v>
      </c>
      <c r="B147" s="9" t="s">
        <v>330</v>
      </c>
      <c r="C147" s="9" t="s">
        <v>81</v>
      </c>
      <c r="D147" s="9" t="s">
        <v>82</v>
      </c>
    </row>
    <row r="148" customFormat="false" ht="15" hidden="false" customHeight="false" outlineLevel="0" collapsed="false">
      <c r="A148" s="8" t="s">
        <v>331</v>
      </c>
      <c r="B148" s="8" t="s">
        <v>332</v>
      </c>
      <c r="C148" s="8" t="s">
        <v>39</v>
      </c>
      <c r="D148" s="8" t="s">
        <v>40</v>
      </c>
    </row>
    <row r="149" customFormat="false" ht="15" hidden="false" customHeight="false" outlineLevel="0" collapsed="false">
      <c r="A149" s="7" t="s">
        <v>333</v>
      </c>
      <c r="B149" s="7" t="s">
        <v>334</v>
      </c>
      <c r="C149" s="7" t="s">
        <v>33</v>
      </c>
      <c r="D149" s="7" t="s">
        <v>34</v>
      </c>
    </row>
    <row r="150" customFormat="false" ht="15" hidden="false" customHeight="false" outlineLevel="0" collapsed="false">
      <c r="A150" s="7" t="s">
        <v>335</v>
      </c>
      <c r="B150" s="7" t="s">
        <v>336</v>
      </c>
      <c r="C150" s="7" t="s">
        <v>33</v>
      </c>
      <c r="D150" s="7" t="s">
        <v>34</v>
      </c>
    </row>
    <row r="151" customFormat="false" ht="15" hidden="false" customHeight="false" outlineLevel="0" collapsed="false">
      <c r="A151" s="8" t="s">
        <v>337</v>
      </c>
      <c r="B151" s="8" t="s">
        <v>338</v>
      </c>
      <c r="C151" s="8" t="s">
        <v>339</v>
      </c>
      <c r="D151" s="8" t="s">
        <v>340</v>
      </c>
    </row>
    <row r="152" customFormat="false" ht="15" hidden="false" customHeight="false" outlineLevel="0" collapsed="false">
      <c r="A152" s="8" t="s">
        <v>341</v>
      </c>
      <c r="B152" s="8" t="s">
        <v>342</v>
      </c>
      <c r="C152" s="8" t="s">
        <v>39</v>
      </c>
      <c r="D152" s="8" t="s">
        <v>40</v>
      </c>
    </row>
    <row r="153" customFormat="false" ht="15" hidden="false" customHeight="false" outlineLevel="0" collapsed="false">
      <c r="A153" s="7" t="s">
        <v>343</v>
      </c>
      <c r="B153" s="7" t="s">
        <v>344</v>
      </c>
      <c r="C153" s="7" t="s">
        <v>33</v>
      </c>
      <c r="D153" s="7" t="s">
        <v>34</v>
      </c>
    </row>
    <row r="154" customFormat="false" ht="15" hidden="false" customHeight="false" outlineLevel="0" collapsed="false">
      <c r="A154" s="7" t="s">
        <v>345</v>
      </c>
      <c r="B154" s="7" t="s">
        <v>346</v>
      </c>
      <c r="C154" s="7" t="s">
        <v>33</v>
      </c>
      <c r="D154" s="7" t="s">
        <v>34</v>
      </c>
    </row>
    <row r="155" customFormat="false" ht="15" hidden="false" customHeight="false" outlineLevel="0" collapsed="false">
      <c r="A155" s="8" t="s">
        <v>347</v>
      </c>
      <c r="B155" s="8" t="s">
        <v>348</v>
      </c>
      <c r="C155" s="8" t="s">
        <v>39</v>
      </c>
      <c r="D155" s="8" t="s">
        <v>40</v>
      </c>
    </row>
    <row r="156" customFormat="false" ht="15" hidden="false" customHeight="false" outlineLevel="0" collapsed="false">
      <c r="A156" s="9" t="s">
        <v>349</v>
      </c>
      <c r="B156" s="9" t="s">
        <v>350</v>
      </c>
      <c r="C156" s="9" t="s">
        <v>47</v>
      </c>
      <c r="D156" s="9" t="s">
        <v>48</v>
      </c>
    </row>
    <row r="157" customFormat="false" ht="15" hidden="false" customHeight="false" outlineLevel="0" collapsed="false">
      <c r="A157" s="8" t="s">
        <v>351</v>
      </c>
      <c r="B157" s="8" t="s">
        <v>352</v>
      </c>
      <c r="C157" s="8" t="s">
        <v>39</v>
      </c>
      <c r="D157" s="8" t="s">
        <v>40</v>
      </c>
    </row>
    <row r="158" customFormat="false" ht="15" hidden="false" customHeight="false" outlineLevel="0" collapsed="false">
      <c r="A158" s="8" t="s">
        <v>353</v>
      </c>
      <c r="B158" s="8" t="s">
        <v>354</v>
      </c>
      <c r="C158" s="8" t="s">
        <v>39</v>
      </c>
      <c r="D158" s="8" t="s">
        <v>40</v>
      </c>
    </row>
    <row r="159" customFormat="false" ht="15" hidden="false" customHeight="false" outlineLevel="0" collapsed="false">
      <c r="A159" s="9" t="s">
        <v>355</v>
      </c>
      <c r="B159" s="9" t="s">
        <v>356</v>
      </c>
      <c r="C159" s="9" t="s">
        <v>47</v>
      </c>
      <c r="D159" s="9" t="s">
        <v>48</v>
      </c>
    </row>
    <row r="160" customFormat="false" ht="15" hidden="false" customHeight="false" outlineLevel="0" collapsed="false">
      <c r="A160" s="8" t="s">
        <v>357</v>
      </c>
      <c r="B160" s="8" t="s">
        <v>358</v>
      </c>
      <c r="C160" s="8" t="s">
        <v>39</v>
      </c>
      <c r="D160" s="8" t="s">
        <v>40</v>
      </c>
    </row>
    <row r="161" customFormat="false" ht="15" hidden="false" customHeight="false" outlineLevel="0" collapsed="false">
      <c r="A161" s="7" t="s">
        <v>359</v>
      </c>
      <c r="B161" s="7" t="s">
        <v>360</v>
      </c>
      <c r="C161" s="7" t="s">
        <v>33</v>
      </c>
      <c r="D161" s="7" t="s">
        <v>34</v>
      </c>
    </row>
    <row r="162" customFormat="false" ht="23.85" hidden="false" customHeight="false" outlineLevel="0" collapsed="false">
      <c r="A162" s="8" t="s">
        <v>361</v>
      </c>
      <c r="B162" s="8" t="s">
        <v>362</v>
      </c>
      <c r="C162" s="8" t="s">
        <v>363</v>
      </c>
      <c r="D162" s="8" t="s">
        <v>364</v>
      </c>
    </row>
    <row r="163" customFormat="false" ht="15" hidden="false" customHeight="false" outlineLevel="0" collapsed="false">
      <c r="A163" s="7" t="s">
        <v>365</v>
      </c>
      <c r="B163" s="7" t="s">
        <v>366</v>
      </c>
      <c r="C163" s="7" t="s">
        <v>33</v>
      </c>
      <c r="D163" s="7" t="s">
        <v>34</v>
      </c>
    </row>
    <row r="164" customFormat="false" ht="15" hidden="false" customHeight="false" outlineLevel="0" collapsed="false">
      <c r="A164" s="7" t="s">
        <v>367</v>
      </c>
      <c r="B164" s="7" t="s">
        <v>368</v>
      </c>
      <c r="C164" s="7" t="s">
        <v>33</v>
      </c>
      <c r="D164" s="7" t="s">
        <v>34</v>
      </c>
    </row>
    <row r="165" customFormat="false" ht="15" hidden="false" customHeight="false" outlineLevel="0" collapsed="false">
      <c r="A165" s="7" t="s">
        <v>369</v>
      </c>
      <c r="B165" s="7" t="s">
        <v>370</v>
      </c>
      <c r="C165" s="7" t="s">
        <v>33</v>
      </c>
      <c r="D165" s="7" t="s">
        <v>34</v>
      </c>
    </row>
    <row r="166" customFormat="false" ht="15" hidden="false" customHeight="false" outlineLevel="0" collapsed="false">
      <c r="A166" s="7" t="s">
        <v>371</v>
      </c>
      <c r="B166" s="7" t="s">
        <v>372</v>
      </c>
      <c r="C166" s="7" t="s">
        <v>33</v>
      </c>
      <c r="D166" s="7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48"/>
  </cols>
  <sheetData>
    <row r="1" customFormat="false" ht="15" hidden="false" customHeight="false" outlineLevel="0" collapsed="false">
      <c r="A1" s="6" t="s">
        <v>373</v>
      </c>
      <c r="B1" s="6" t="s">
        <v>28</v>
      </c>
      <c r="C1" s="6" t="s">
        <v>374</v>
      </c>
      <c r="D1" s="6" t="s">
        <v>29</v>
      </c>
      <c r="E1" s="6" t="s">
        <v>30</v>
      </c>
    </row>
    <row r="2" customFormat="false" ht="15" hidden="false" customHeight="false" outlineLevel="0" collapsed="false">
      <c r="A2" s="7" t="s">
        <v>375</v>
      </c>
      <c r="B2" s="7" t="s">
        <v>376</v>
      </c>
      <c r="C2" s="7" t="s">
        <v>377</v>
      </c>
      <c r="D2" s="7" t="s">
        <v>33</v>
      </c>
      <c r="E2" s="7" t="s">
        <v>34</v>
      </c>
    </row>
    <row r="3" customFormat="false" ht="15" hidden="false" customHeight="false" outlineLevel="0" collapsed="false">
      <c r="A3" s="7" t="s">
        <v>378</v>
      </c>
      <c r="B3" s="7" t="s">
        <v>379</v>
      </c>
      <c r="C3" s="7" t="s">
        <v>377</v>
      </c>
      <c r="D3" s="7" t="s">
        <v>33</v>
      </c>
      <c r="E3" s="7" t="s">
        <v>34</v>
      </c>
    </row>
    <row r="4" customFormat="false" ht="15" hidden="false" customHeight="false" outlineLevel="0" collapsed="false">
      <c r="A4" s="7" t="s">
        <v>380</v>
      </c>
      <c r="B4" s="7" t="s">
        <v>381</v>
      </c>
      <c r="C4" s="7" t="s">
        <v>377</v>
      </c>
      <c r="D4" s="7" t="s">
        <v>33</v>
      </c>
      <c r="E4" s="7" t="s">
        <v>34</v>
      </c>
    </row>
    <row r="5" customFormat="false" ht="15" hidden="false" customHeight="false" outlineLevel="0" collapsed="false">
      <c r="A5" s="7" t="s">
        <v>382</v>
      </c>
      <c r="B5" s="7" t="s">
        <v>383</v>
      </c>
      <c r="C5" s="7" t="s">
        <v>384</v>
      </c>
      <c r="D5" s="7" t="s">
        <v>33</v>
      </c>
      <c r="E5" s="7" t="s">
        <v>34</v>
      </c>
    </row>
    <row r="6" customFormat="false" ht="15" hidden="false" customHeight="false" outlineLevel="0" collapsed="false">
      <c r="A6" s="8" t="s">
        <v>385</v>
      </c>
      <c r="B6" s="8" t="s">
        <v>386</v>
      </c>
      <c r="C6" s="8" t="s">
        <v>384</v>
      </c>
      <c r="D6" s="8" t="s">
        <v>339</v>
      </c>
      <c r="E6" s="8" t="s">
        <v>387</v>
      </c>
    </row>
    <row r="7" customFormat="false" ht="15" hidden="false" customHeight="false" outlineLevel="0" collapsed="false">
      <c r="A7" s="9" t="s">
        <v>388</v>
      </c>
      <c r="B7" s="9" t="s">
        <v>389</v>
      </c>
      <c r="C7" s="9" t="s">
        <v>377</v>
      </c>
      <c r="D7" s="9" t="s">
        <v>81</v>
      </c>
      <c r="E7" s="9" t="s">
        <v>82</v>
      </c>
    </row>
    <row r="8" customFormat="false" ht="15" hidden="false" customHeight="false" outlineLevel="0" collapsed="false">
      <c r="A8" s="7" t="s">
        <v>390</v>
      </c>
      <c r="B8" s="7" t="s">
        <v>391</v>
      </c>
      <c r="C8" s="7" t="s">
        <v>377</v>
      </c>
      <c r="D8" s="7" t="s">
        <v>33</v>
      </c>
      <c r="E8" s="7" t="s">
        <v>34</v>
      </c>
    </row>
    <row r="9" customFormat="false" ht="15" hidden="false" customHeight="false" outlineLevel="0" collapsed="false">
      <c r="A9" s="7" t="s">
        <v>392</v>
      </c>
      <c r="B9" s="7" t="s">
        <v>393</v>
      </c>
      <c r="C9" s="7" t="s">
        <v>377</v>
      </c>
      <c r="D9" s="7" t="s">
        <v>33</v>
      </c>
      <c r="E9" s="7" t="s">
        <v>34</v>
      </c>
    </row>
    <row r="10" customFormat="false" ht="15" hidden="false" customHeight="false" outlineLevel="0" collapsed="false">
      <c r="A10" s="7" t="s">
        <v>394</v>
      </c>
      <c r="B10" s="7" t="s">
        <v>395</v>
      </c>
      <c r="C10" s="7" t="s">
        <v>377</v>
      </c>
      <c r="D10" s="7" t="s">
        <v>33</v>
      </c>
      <c r="E10" s="7" t="s">
        <v>34</v>
      </c>
    </row>
    <row r="11" customFormat="false" ht="15" hidden="false" customHeight="false" outlineLevel="0" collapsed="false">
      <c r="A11" s="7" t="s">
        <v>396</v>
      </c>
      <c r="B11" s="7" t="s">
        <v>397</v>
      </c>
      <c r="C11" s="7" t="s">
        <v>384</v>
      </c>
      <c r="D11" s="7" t="s">
        <v>33</v>
      </c>
      <c r="E11" s="7" t="s">
        <v>34</v>
      </c>
    </row>
    <row r="12" customFormat="false" ht="15" hidden="false" customHeight="false" outlineLevel="0" collapsed="false">
      <c r="A12" s="7" t="s">
        <v>398</v>
      </c>
      <c r="B12" s="7" t="s">
        <v>399</v>
      </c>
      <c r="C12" s="7" t="s">
        <v>377</v>
      </c>
      <c r="D12" s="7" t="s">
        <v>33</v>
      </c>
      <c r="E12" s="7" t="s">
        <v>34</v>
      </c>
    </row>
    <row r="13" customFormat="false" ht="15" hidden="false" customHeight="false" outlineLevel="0" collapsed="false">
      <c r="A13" s="7" t="s">
        <v>400</v>
      </c>
      <c r="B13" s="7" t="s">
        <v>401</v>
      </c>
      <c r="C13" s="7" t="s">
        <v>377</v>
      </c>
      <c r="D13" s="7" t="s">
        <v>33</v>
      </c>
      <c r="E13" s="7" t="s">
        <v>34</v>
      </c>
    </row>
    <row r="14" customFormat="false" ht="15" hidden="false" customHeight="false" outlineLevel="0" collapsed="false">
      <c r="A14" s="7" t="s">
        <v>402</v>
      </c>
      <c r="B14" s="7" t="s">
        <v>403</v>
      </c>
      <c r="C14" s="7" t="s">
        <v>377</v>
      </c>
      <c r="D14" s="7" t="s">
        <v>33</v>
      </c>
      <c r="E14" s="7" t="s">
        <v>34</v>
      </c>
    </row>
    <row r="15" customFormat="false" ht="15" hidden="false" customHeight="false" outlineLevel="0" collapsed="false">
      <c r="A15" s="7" t="s">
        <v>404</v>
      </c>
      <c r="B15" s="7" t="s">
        <v>405</v>
      </c>
      <c r="C15" s="7" t="s">
        <v>377</v>
      </c>
      <c r="D15" s="7" t="s">
        <v>33</v>
      </c>
      <c r="E15" s="7" t="s">
        <v>34</v>
      </c>
    </row>
    <row r="16" customFormat="false" ht="15" hidden="false" customHeight="false" outlineLevel="0" collapsed="false">
      <c r="A16" s="9" t="s">
        <v>406</v>
      </c>
      <c r="B16" s="9" t="s">
        <v>407</v>
      </c>
      <c r="C16" s="9" t="s">
        <v>384</v>
      </c>
      <c r="D16" s="9" t="s">
        <v>47</v>
      </c>
      <c r="E16" s="9" t="s">
        <v>48</v>
      </c>
    </row>
    <row r="17" customFormat="false" ht="15" hidden="false" customHeight="false" outlineLevel="0" collapsed="false">
      <c r="A17" s="7" t="s">
        <v>408</v>
      </c>
      <c r="B17" s="7" t="s">
        <v>409</v>
      </c>
      <c r="C17" s="7" t="s">
        <v>377</v>
      </c>
      <c r="D17" s="7" t="s">
        <v>33</v>
      </c>
      <c r="E17" s="7" t="s">
        <v>34</v>
      </c>
    </row>
    <row r="18" customFormat="false" ht="15" hidden="false" customHeight="false" outlineLevel="0" collapsed="false">
      <c r="A18" s="7" t="s">
        <v>410</v>
      </c>
      <c r="B18" s="7" t="s">
        <v>411</v>
      </c>
      <c r="C18" s="7" t="s">
        <v>377</v>
      </c>
      <c r="D18" s="7" t="s">
        <v>33</v>
      </c>
      <c r="E18" s="7" t="s">
        <v>34</v>
      </c>
    </row>
    <row r="19" customFormat="false" ht="15" hidden="false" customHeight="false" outlineLevel="0" collapsed="false">
      <c r="A19" s="7" t="s">
        <v>412</v>
      </c>
      <c r="B19" s="7" t="s">
        <v>413</v>
      </c>
      <c r="C19" s="7" t="s">
        <v>377</v>
      </c>
      <c r="D19" s="7" t="s">
        <v>33</v>
      </c>
      <c r="E19" s="7" t="s">
        <v>34</v>
      </c>
    </row>
    <row r="20" customFormat="false" ht="15" hidden="false" customHeight="false" outlineLevel="0" collapsed="false">
      <c r="A20" s="7" t="s">
        <v>414</v>
      </c>
      <c r="B20" s="7" t="s">
        <v>415</v>
      </c>
      <c r="C20" s="7" t="s">
        <v>384</v>
      </c>
      <c r="D20" s="7" t="s">
        <v>33</v>
      </c>
      <c r="E20" s="7" t="s">
        <v>34</v>
      </c>
    </row>
    <row r="21" customFormat="false" ht="15" hidden="false" customHeight="false" outlineLevel="0" collapsed="false">
      <c r="A21" s="7" t="s">
        <v>416</v>
      </c>
      <c r="B21" s="7" t="s">
        <v>417</v>
      </c>
      <c r="C21" s="7" t="s">
        <v>377</v>
      </c>
      <c r="D21" s="7" t="s">
        <v>33</v>
      </c>
      <c r="E21" s="7" t="s">
        <v>34</v>
      </c>
    </row>
    <row r="22" customFormat="false" ht="15" hidden="false" customHeight="false" outlineLevel="0" collapsed="false">
      <c r="A22" s="7" t="s">
        <v>418</v>
      </c>
      <c r="B22" s="7" t="s">
        <v>419</v>
      </c>
      <c r="C22" s="7" t="s">
        <v>377</v>
      </c>
      <c r="D22" s="7" t="s">
        <v>33</v>
      </c>
      <c r="E22" s="7" t="s">
        <v>34</v>
      </c>
    </row>
    <row r="23" customFormat="false" ht="15" hidden="false" customHeight="false" outlineLevel="0" collapsed="false">
      <c r="A23" s="7" t="s">
        <v>420</v>
      </c>
      <c r="B23" s="7" t="s">
        <v>421</v>
      </c>
      <c r="C23" s="7" t="s">
        <v>384</v>
      </c>
      <c r="D23" s="7" t="s">
        <v>33</v>
      </c>
      <c r="E23" s="7" t="s">
        <v>34</v>
      </c>
    </row>
    <row r="24" customFormat="false" ht="15" hidden="false" customHeight="false" outlineLevel="0" collapsed="false">
      <c r="A24" s="7" t="s">
        <v>422</v>
      </c>
      <c r="B24" s="7" t="s">
        <v>423</v>
      </c>
      <c r="C24" s="7" t="s">
        <v>384</v>
      </c>
      <c r="D24" s="7" t="s">
        <v>33</v>
      </c>
      <c r="E24" s="7" t="s">
        <v>34</v>
      </c>
    </row>
    <row r="25" customFormat="false" ht="15" hidden="false" customHeight="false" outlineLevel="0" collapsed="false">
      <c r="A25" s="7" t="s">
        <v>424</v>
      </c>
      <c r="B25" s="7" t="s">
        <v>425</v>
      </c>
      <c r="C25" s="7" t="s">
        <v>384</v>
      </c>
      <c r="D25" s="7" t="s">
        <v>33</v>
      </c>
      <c r="E25" s="7" t="s">
        <v>34</v>
      </c>
    </row>
    <row r="26" customFormat="false" ht="15" hidden="false" customHeight="false" outlineLevel="0" collapsed="false">
      <c r="A26" s="7" t="s">
        <v>426</v>
      </c>
      <c r="B26" s="7" t="s">
        <v>427</v>
      </c>
      <c r="C26" s="7" t="s">
        <v>384</v>
      </c>
      <c r="D26" s="7" t="s">
        <v>33</v>
      </c>
      <c r="E26" s="7" t="s">
        <v>34</v>
      </c>
    </row>
    <row r="27" customFormat="false" ht="15" hidden="false" customHeight="false" outlineLevel="0" collapsed="false">
      <c r="A27" s="7" t="s">
        <v>428</v>
      </c>
      <c r="B27" s="7" t="s">
        <v>429</v>
      </c>
      <c r="C27" s="7" t="s">
        <v>384</v>
      </c>
      <c r="D27" s="7" t="s">
        <v>33</v>
      </c>
      <c r="E27" s="7" t="s">
        <v>34</v>
      </c>
    </row>
    <row r="28" customFormat="false" ht="15" hidden="false" customHeight="false" outlineLevel="0" collapsed="false">
      <c r="A28" s="7" t="s">
        <v>430</v>
      </c>
      <c r="B28" s="7" t="s">
        <v>431</v>
      </c>
      <c r="C28" s="7" t="s">
        <v>384</v>
      </c>
      <c r="D28" s="7" t="s">
        <v>33</v>
      </c>
      <c r="E28" s="7" t="s">
        <v>34</v>
      </c>
    </row>
    <row r="29" customFormat="false" ht="15" hidden="false" customHeight="false" outlineLevel="0" collapsed="false">
      <c r="A29" s="7" t="s">
        <v>432</v>
      </c>
      <c r="B29" s="7" t="s">
        <v>433</v>
      </c>
      <c r="C29" s="7" t="s">
        <v>384</v>
      </c>
      <c r="D29" s="7" t="s">
        <v>33</v>
      </c>
      <c r="E29" s="7" t="s">
        <v>34</v>
      </c>
    </row>
    <row r="30" customFormat="false" ht="15" hidden="false" customHeight="false" outlineLevel="0" collapsed="false">
      <c r="A30" s="7" t="s">
        <v>434</v>
      </c>
      <c r="B30" s="7" t="s">
        <v>435</v>
      </c>
      <c r="C30" s="7" t="s">
        <v>384</v>
      </c>
      <c r="D30" s="7" t="s">
        <v>33</v>
      </c>
      <c r="E30" s="7" t="s">
        <v>34</v>
      </c>
    </row>
    <row r="31" customFormat="false" ht="15" hidden="false" customHeight="false" outlineLevel="0" collapsed="false">
      <c r="A31" s="7" t="s">
        <v>436</v>
      </c>
      <c r="B31" s="7" t="s">
        <v>437</v>
      </c>
      <c r="C31" s="7" t="s">
        <v>384</v>
      </c>
      <c r="D31" s="7" t="s">
        <v>33</v>
      </c>
      <c r="E31" s="7" t="s">
        <v>34</v>
      </c>
    </row>
    <row r="32" customFormat="false" ht="15" hidden="false" customHeight="false" outlineLevel="0" collapsed="false">
      <c r="A32" s="7" t="s">
        <v>438</v>
      </c>
      <c r="B32" s="7" t="s">
        <v>439</v>
      </c>
      <c r="C32" s="7" t="s">
        <v>377</v>
      </c>
      <c r="D32" s="7" t="s">
        <v>33</v>
      </c>
      <c r="E32" s="7" t="s">
        <v>34</v>
      </c>
    </row>
    <row r="33" customFormat="false" ht="15" hidden="false" customHeight="false" outlineLevel="0" collapsed="false">
      <c r="A33" s="7" t="s">
        <v>440</v>
      </c>
      <c r="B33" s="7" t="s">
        <v>441</v>
      </c>
      <c r="C33" s="7" t="s">
        <v>384</v>
      </c>
      <c r="D33" s="7" t="s">
        <v>33</v>
      </c>
      <c r="E33" s="7" t="s">
        <v>34</v>
      </c>
    </row>
    <row r="34" customFormat="false" ht="15" hidden="false" customHeight="false" outlineLevel="0" collapsed="false">
      <c r="A34" s="7" t="s">
        <v>442</v>
      </c>
      <c r="B34" s="7" t="s">
        <v>443</v>
      </c>
      <c r="C34" s="7" t="s">
        <v>384</v>
      </c>
      <c r="D34" s="7" t="s">
        <v>33</v>
      </c>
      <c r="E34" s="7" t="s">
        <v>34</v>
      </c>
    </row>
    <row r="35" customFormat="false" ht="15" hidden="false" customHeight="false" outlineLevel="0" collapsed="false">
      <c r="A35" s="7" t="s">
        <v>444</v>
      </c>
      <c r="B35" s="7" t="s">
        <v>445</v>
      </c>
      <c r="C35" s="7" t="s">
        <v>377</v>
      </c>
      <c r="D35" s="7" t="s">
        <v>33</v>
      </c>
      <c r="E35" s="7" t="s">
        <v>34</v>
      </c>
    </row>
    <row r="36" customFormat="false" ht="15" hidden="false" customHeight="false" outlineLevel="0" collapsed="false">
      <c r="A36" s="7" t="s">
        <v>446</v>
      </c>
      <c r="B36" s="7" t="s">
        <v>447</v>
      </c>
      <c r="C36" s="7" t="s">
        <v>377</v>
      </c>
      <c r="D36" s="7" t="s">
        <v>33</v>
      </c>
      <c r="E36" s="7" t="s">
        <v>34</v>
      </c>
    </row>
    <row r="37" customFormat="false" ht="15" hidden="false" customHeight="false" outlineLevel="0" collapsed="false">
      <c r="A37" s="7" t="s">
        <v>448</v>
      </c>
      <c r="B37" s="7" t="s">
        <v>449</v>
      </c>
      <c r="C37" s="7" t="s">
        <v>384</v>
      </c>
      <c r="D37" s="7" t="s">
        <v>33</v>
      </c>
      <c r="E37" s="7" t="s">
        <v>34</v>
      </c>
    </row>
    <row r="38" customFormat="false" ht="15" hidden="false" customHeight="false" outlineLevel="0" collapsed="false">
      <c r="A38" s="7" t="s">
        <v>450</v>
      </c>
      <c r="B38" s="7" t="s">
        <v>451</v>
      </c>
      <c r="C38" s="7" t="s">
        <v>384</v>
      </c>
      <c r="D38" s="7" t="s">
        <v>33</v>
      </c>
      <c r="E38" s="7" t="s">
        <v>34</v>
      </c>
    </row>
    <row r="39" customFormat="false" ht="15" hidden="false" customHeight="false" outlineLevel="0" collapsed="false">
      <c r="A39" s="7" t="s">
        <v>452</v>
      </c>
      <c r="B39" s="7" t="s">
        <v>453</v>
      </c>
      <c r="C39" s="7" t="s">
        <v>377</v>
      </c>
      <c r="D39" s="7" t="s">
        <v>33</v>
      </c>
      <c r="E39" s="7" t="s">
        <v>34</v>
      </c>
    </row>
    <row r="40" customFormat="false" ht="15" hidden="false" customHeight="false" outlineLevel="0" collapsed="false">
      <c r="A40" s="7" t="s">
        <v>454</v>
      </c>
      <c r="B40" s="7" t="s">
        <v>455</v>
      </c>
      <c r="C40" s="7" t="s">
        <v>384</v>
      </c>
      <c r="D40" s="7" t="s">
        <v>33</v>
      </c>
      <c r="E40" s="7" t="s">
        <v>34</v>
      </c>
    </row>
    <row r="41" customFormat="false" ht="15" hidden="false" customHeight="false" outlineLevel="0" collapsed="false">
      <c r="A41" s="7" t="s">
        <v>456</v>
      </c>
      <c r="B41" s="7" t="s">
        <v>457</v>
      </c>
      <c r="C41" s="7" t="s">
        <v>384</v>
      </c>
      <c r="D41" s="7" t="s">
        <v>33</v>
      </c>
      <c r="E41" s="7" t="s">
        <v>34</v>
      </c>
    </row>
    <row r="42" customFormat="false" ht="15" hidden="false" customHeight="false" outlineLevel="0" collapsed="false">
      <c r="A42" s="7" t="s">
        <v>458</v>
      </c>
      <c r="B42" s="7" t="s">
        <v>459</v>
      </c>
      <c r="C42" s="7" t="s">
        <v>384</v>
      </c>
      <c r="D42" s="7" t="s">
        <v>33</v>
      </c>
      <c r="E42" s="7" t="s">
        <v>34</v>
      </c>
    </row>
    <row r="43" customFormat="false" ht="15" hidden="false" customHeight="false" outlineLevel="0" collapsed="false">
      <c r="A43" s="7" t="s">
        <v>460</v>
      </c>
      <c r="B43" s="7" t="s">
        <v>461</v>
      </c>
      <c r="C43" s="7" t="s">
        <v>384</v>
      </c>
      <c r="D43" s="7" t="s">
        <v>33</v>
      </c>
      <c r="E43" s="7" t="s">
        <v>34</v>
      </c>
    </row>
    <row r="44" customFormat="false" ht="15" hidden="false" customHeight="false" outlineLevel="0" collapsed="false">
      <c r="A44" s="7" t="s">
        <v>462</v>
      </c>
      <c r="B44" s="7" t="s">
        <v>463</v>
      </c>
      <c r="C44" s="7" t="s">
        <v>384</v>
      </c>
      <c r="D44" s="7" t="s">
        <v>33</v>
      </c>
      <c r="E44" s="7" t="s">
        <v>34</v>
      </c>
    </row>
    <row r="45" customFormat="false" ht="15" hidden="false" customHeight="false" outlineLevel="0" collapsed="false">
      <c r="A45" s="7" t="s">
        <v>464</v>
      </c>
      <c r="B45" s="7" t="s">
        <v>465</v>
      </c>
      <c r="C45" s="7" t="s">
        <v>384</v>
      </c>
      <c r="D45" s="7" t="s">
        <v>33</v>
      </c>
      <c r="E45" s="7" t="s">
        <v>34</v>
      </c>
    </row>
    <row r="46" customFormat="false" ht="15" hidden="false" customHeight="false" outlineLevel="0" collapsed="false">
      <c r="A46" s="7" t="s">
        <v>466</v>
      </c>
      <c r="B46" s="7" t="s">
        <v>467</v>
      </c>
      <c r="C46" s="7" t="s">
        <v>384</v>
      </c>
      <c r="D46" s="7" t="s">
        <v>33</v>
      </c>
      <c r="E46" s="7" t="s">
        <v>34</v>
      </c>
    </row>
    <row r="47" customFormat="false" ht="15" hidden="false" customHeight="false" outlineLevel="0" collapsed="false">
      <c r="A47" s="7" t="s">
        <v>468</v>
      </c>
      <c r="B47" s="7" t="s">
        <v>469</v>
      </c>
      <c r="C47" s="7" t="s">
        <v>384</v>
      </c>
      <c r="D47" s="7" t="s">
        <v>33</v>
      </c>
      <c r="E47" s="7" t="s">
        <v>34</v>
      </c>
    </row>
    <row r="48" customFormat="false" ht="15" hidden="false" customHeight="false" outlineLevel="0" collapsed="false">
      <c r="A48" s="7" t="s">
        <v>470</v>
      </c>
      <c r="B48" s="7" t="s">
        <v>471</v>
      </c>
      <c r="C48" s="7" t="s">
        <v>384</v>
      </c>
      <c r="D48" s="7" t="s">
        <v>33</v>
      </c>
      <c r="E48" s="7" t="s">
        <v>34</v>
      </c>
    </row>
    <row r="49" customFormat="false" ht="15" hidden="false" customHeight="false" outlineLevel="0" collapsed="false">
      <c r="A49" s="7" t="s">
        <v>472</v>
      </c>
      <c r="B49" s="7" t="s">
        <v>473</v>
      </c>
      <c r="C49" s="7" t="s">
        <v>377</v>
      </c>
      <c r="D49" s="7" t="s">
        <v>33</v>
      </c>
      <c r="E49" s="7" t="s">
        <v>34</v>
      </c>
    </row>
    <row r="50" customFormat="false" ht="15" hidden="false" customHeight="false" outlineLevel="0" collapsed="false">
      <c r="A50" s="7" t="s">
        <v>474</v>
      </c>
      <c r="B50" s="7" t="s">
        <v>475</v>
      </c>
      <c r="C50" s="7" t="s">
        <v>384</v>
      </c>
      <c r="D50" s="7" t="s">
        <v>33</v>
      </c>
      <c r="E50" s="7" t="s">
        <v>34</v>
      </c>
    </row>
    <row r="51" customFormat="false" ht="15" hidden="false" customHeight="false" outlineLevel="0" collapsed="false">
      <c r="A51" s="7" t="s">
        <v>476</v>
      </c>
      <c r="B51" s="7" t="s">
        <v>477</v>
      </c>
      <c r="C51" s="7" t="s">
        <v>384</v>
      </c>
      <c r="D51" s="7" t="s">
        <v>33</v>
      </c>
      <c r="E51" s="7" t="s">
        <v>34</v>
      </c>
    </row>
    <row r="52" customFormat="false" ht="15" hidden="false" customHeight="false" outlineLevel="0" collapsed="false">
      <c r="A52" s="7" t="s">
        <v>478</v>
      </c>
      <c r="B52" s="7" t="s">
        <v>479</v>
      </c>
      <c r="C52" s="7" t="s">
        <v>384</v>
      </c>
      <c r="D52" s="7" t="s">
        <v>33</v>
      </c>
      <c r="E52" s="7" t="s">
        <v>34</v>
      </c>
    </row>
    <row r="53" customFormat="false" ht="15" hidden="false" customHeight="false" outlineLevel="0" collapsed="false">
      <c r="A53" s="7" t="s">
        <v>480</v>
      </c>
      <c r="B53" s="7" t="s">
        <v>481</v>
      </c>
      <c r="C53" s="7" t="s">
        <v>384</v>
      </c>
      <c r="D53" s="7" t="s">
        <v>33</v>
      </c>
      <c r="E53" s="7" t="s">
        <v>34</v>
      </c>
    </row>
    <row r="54" customFormat="false" ht="15" hidden="false" customHeight="false" outlineLevel="0" collapsed="false">
      <c r="A54" s="7" t="s">
        <v>482</v>
      </c>
      <c r="B54" s="7" t="s">
        <v>483</v>
      </c>
      <c r="C54" s="7" t="s">
        <v>377</v>
      </c>
      <c r="D54" s="7" t="s">
        <v>33</v>
      </c>
      <c r="E54" s="7" t="s">
        <v>34</v>
      </c>
    </row>
    <row r="55" customFormat="false" ht="15" hidden="false" customHeight="false" outlineLevel="0" collapsed="false">
      <c r="A55" s="7" t="s">
        <v>484</v>
      </c>
      <c r="B55" s="7" t="s">
        <v>485</v>
      </c>
      <c r="C55" s="7" t="s">
        <v>384</v>
      </c>
      <c r="D55" s="7" t="s">
        <v>33</v>
      </c>
      <c r="E55" s="7" t="s">
        <v>34</v>
      </c>
    </row>
    <row r="56" customFormat="false" ht="15" hidden="false" customHeight="false" outlineLevel="0" collapsed="false">
      <c r="A56" s="7" t="s">
        <v>486</v>
      </c>
      <c r="B56" s="7" t="s">
        <v>487</v>
      </c>
      <c r="C56" s="7" t="s">
        <v>384</v>
      </c>
      <c r="D56" s="7" t="s">
        <v>33</v>
      </c>
      <c r="E56" s="7" t="s">
        <v>34</v>
      </c>
    </row>
    <row r="57" customFormat="false" ht="15" hidden="false" customHeight="false" outlineLevel="0" collapsed="false">
      <c r="A57" s="7" t="s">
        <v>488</v>
      </c>
      <c r="B57" s="7" t="s">
        <v>489</v>
      </c>
      <c r="C57" s="7" t="s">
        <v>384</v>
      </c>
      <c r="D57" s="7" t="s">
        <v>33</v>
      </c>
      <c r="E57" s="7" t="s">
        <v>34</v>
      </c>
    </row>
    <row r="58" customFormat="false" ht="15" hidden="false" customHeight="false" outlineLevel="0" collapsed="false">
      <c r="A58" s="9" t="s">
        <v>490</v>
      </c>
      <c r="B58" s="9" t="s">
        <v>491</v>
      </c>
      <c r="C58" s="9" t="s">
        <v>377</v>
      </c>
      <c r="D58" s="9" t="s">
        <v>81</v>
      </c>
      <c r="E58" s="9" t="s">
        <v>82</v>
      </c>
    </row>
    <row r="59" customFormat="false" ht="15" hidden="false" customHeight="false" outlineLevel="0" collapsed="false">
      <c r="A59" s="7" t="s">
        <v>492</v>
      </c>
      <c r="B59" s="7" t="s">
        <v>493</v>
      </c>
      <c r="C59" s="7" t="s">
        <v>384</v>
      </c>
      <c r="D59" s="7" t="s">
        <v>33</v>
      </c>
      <c r="E59" s="7" t="s">
        <v>34</v>
      </c>
    </row>
    <row r="60" customFormat="false" ht="15" hidden="false" customHeight="false" outlineLevel="0" collapsed="false">
      <c r="A60" s="7" t="s">
        <v>494</v>
      </c>
      <c r="B60" s="7" t="s">
        <v>495</v>
      </c>
      <c r="C60" s="7" t="s">
        <v>384</v>
      </c>
      <c r="D60" s="7" t="s">
        <v>33</v>
      </c>
      <c r="E60" s="7" t="s">
        <v>34</v>
      </c>
    </row>
    <row r="61" customFormat="false" ht="15" hidden="false" customHeight="false" outlineLevel="0" collapsed="false">
      <c r="A61" s="7" t="s">
        <v>496</v>
      </c>
      <c r="B61" s="7" t="s">
        <v>497</v>
      </c>
      <c r="C61" s="7" t="s">
        <v>384</v>
      </c>
      <c r="D61" s="7" t="s">
        <v>33</v>
      </c>
      <c r="E61" s="7" t="s">
        <v>34</v>
      </c>
    </row>
    <row r="62" customFormat="false" ht="15" hidden="false" customHeight="false" outlineLevel="0" collapsed="false">
      <c r="A62" s="7" t="s">
        <v>498</v>
      </c>
      <c r="B62" s="7" t="s">
        <v>499</v>
      </c>
      <c r="C62" s="7" t="s">
        <v>384</v>
      </c>
      <c r="D62" s="7" t="s">
        <v>33</v>
      </c>
      <c r="E62" s="7" t="s">
        <v>34</v>
      </c>
    </row>
    <row r="63" customFormat="false" ht="15" hidden="false" customHeight="false" outlineLevel="0" collapsed="false">
      <c r="A63" s="7" t="s">
        <v>500</v>
      </c>
      <c r="B63" s="7" t="s">
        <v>501</v>
      </c>
      <c r="C63" s="7" t="s">
        <v>384</v>
      </c>
      <c r="D63" s="7" t="s">
        <v>33</v>
      </c>
      <c r="E63" s="7" t="s">
        <v>34</v>
      </c>
    </row>
    <row r="64" customFormat="false" ht="15" hidden="false" customHeight="false" outlineLevel="0" collapsed="false">
      <c r="A64" s="7" t="s">
        <v>502</v>
      </c>
      <c r="B64" s="7" t="s">
        <v>503</v>
      </c>
      <c r="C64" s="7" t="s">
        <v>377</v>
      </c>
      <c r="D64" s="7" t="s">
        <v>33</v>
      </c>
      <c r="E64" s="7" t="s">
        <v>34</v>
      </c>
    </row>
    <row r="65" customFormat="false" ht="15" hidden="false" customHeight="false" outlineLevel="0" collapsed="false">
      <c r="A65" s="7" t="s">
        <v>504</v>
      </c>
      <c r="B65" s="7" t="s">
        <v>505</v>
      </c>
      <c r="C65" s="7" t="s">
        <v>377</v>
      </c>
      <c r="D65" s="7" t="s">
        <v>33</v>
      </c>
      <c r="E65" s="7" t="s">
        <v>34</v>
      </c>
    </row>
    <row r="66" customFormat="false" ht="15" hidden="false" customHeight="false" outlineLevel="0" collapsed="false">
      <c r="A66" s="7" t="s">
        <v>506</v>
      </c>
      <c r="B66" s="7" t="s">
        <v>507</v>
      </c>
      <c r="C66" s="7" t="s">
        <v>377</v>
      </c>
      <c r="D66" s="7" t="s">
        <v>33</v>
      </c>
      <c r="E66" s="7" t="s">
        <v>34</v>
      </c>
    </row>
    <row r="67" customFormat="false" ht="15" hidden="false" customHeight="false" outlineLevel="0" collapsed="false">
      <c r="A67" s="9" t="s">
        <v>508</v>
      </c>
      <c r="B67" s="9" t="s">
        <v>509</v>
      </c>
      <c r="C67" s="9" t="s">
        <v>377</v>
      </c>
      <c r="D67" s="9" t="s">
        <v>47</v>
      </c>
      <c r="E67" s="9" t="s">
        <v>48</v>
      </c>
    </row>
    <row r="68" customFormat="false" ht="15" hidden="false" customHeight="false" outlineLevel="0" collapsed="false">
      <c r="A68" s="7" t="s">
        <v>510</v>
      </c>
      <c r="B68" s="7" t="s">
        <v>511</v>
      </c>
      <c r="C68" s="7" t="s">
        <v>377</v>
      </c>
      <c r="D68" s="7" t="s">
        <v>33</v>
      </c>
      <c r="E68" s="7" t="s">
        <v>34</v>
      </c>
    </row>
    <row r="69" customFormat="false" ht="15" hidden="false" customHeight="false" outlineLevel="0" collapsed="false">
      <c r="A69" s="7" t="s">
        <v>512</v>
      </c>
      <c r="B69" s="7" t="s">
        <v>513</v>
      </c>
      <c r="C69" s="7" t="s">
        <v>377</v>
      </c>
      <c r="D69" s="7" t="s">
        <v>33</v>
      </c>
      <c r="E69" s="7" t="s">
        <v>34</v>
      </c>
    </row>
    <row r="70" customFormat="false" ht="15" hidden="false" customHeight="false" outlineLevel="0" collapsed="false">
      <c r="A70" s="7" t="s">
        <v>514</v>
      </c>
      <c r="B70" s="7" t="s">
        <v>515</v>
      </c>
      <c r="C70" s="7" t="s">
        <v>377</v>
      </c>
      <c r="D70" s="7" t="s">
        <v>33</v>
      </c>
      <c r="E70" s="7" t="s">
        <v>34</v>
      </c>
    </row>
    <row r="71" customFormat="false" ht="15" hidden="false" customHeight="false" outlineLevel="0" collapsed="false">
      <c r="A71" s="7" t="s">
        <v>516</v>
      </c>
      <c r="B71" s="7" t="s">
        <v>517</v>
      </c>
      <c r="C71" s="7" t="s">
        <v>377</v>
      </c>
      <c r="D71" s="7" t="s">
        <v>33</v>
      </c>
      <c r="E71" s="7" t="s">
        <v>34</v>
      </c>
    </row>
    <row r="72" customFormat="false" ht="15" hidden="false" customHeight="false" outlineLevel="0" collapsed="false">
      <c r="A72" s="7" t="s">
        <v>518</v>
      </c>
      <c r="B72" s="7" t="s">
        <v>519</v>
      </c>
      <c r="C72" s="7" t="s">
        <v>377</v>
      </c>
      <c r="D72" s="7" t="s">
        <v>33</v>
      </c>
      <c r="E72" s="7" t="s">
        <v>34</v>
      </c>
    </row>
    <row r="73" customFormat="false" ht="15" hidden="false" customHeight="false" outlineLevel="0" collapsed="false">
      <c r="A73" s="7" t="s">
        <v>520</v>
      </c>
      <c r="B73" s="7" t="s">
        <v>521</v>
      </c>
      <c r="C73" s="7" t="s">
        <v>377</v>
      </c>
      <c r="D73" s="7" t="s">
        <v>33</v>
      </c>
      <c r="E73" s="7" t="s">
        <v>34</v>
      </c>
    </row>
    <row r="74" customFormat="false" ht="15" hidden="false" customHeight="false" outlineLevel="0" collapsed="false">
      <c r="A74" s="7" t="s">
        <v>522</v>
      </c>
      <c r="B74" s="7" t="s">
        <v>523</v>
      </c>
      <c r="C74" s="7" t="s">
        <v>384</v>
      </c>
      <c r="D74" s="7" t="s">
        <v>33</v>
      </c>
      <c r="E74" s="7" t="s">
        <v>34</v>
      </c>
    </row>
    <row r="75" customFormat="false" ht="15" hidden="false" customHeight="false" outlineLevel="0" collapsed="false">
      <c r="A75" s="7" t="s">
        <v>524</v>
      </c>
      <c r="B75" s="7" t="s">
        <v>525</v>
      </c>
      <c r="C75" s="7" t="s">
        <v>377</v>
      </c>
      <c r="D75" s="7" t="s">
        <v>33</v>
      </c>
      <c r="E75" s="7" t="s">
        <v>34</v>
      </c>
    </row>
    <row r="76" customFormat="false" ht="15" hidden="false" customHeight="false" outlineLevel="0" collapsed="false">
      <c r="A76" s="7" t="s">
        <v>526</v>
      </c>
      <c r="B76" s="7" t="s">
        <v>527</v>
      </c>
      <c r="C76" s="7" t="s">
        <v>377</v>
      </c>
      <c r="D76" s="7" t="s">
        <v>33</v>
      </c>
      <c r="E76" s="7" t="s">
        <v>34</v>
      </c>
    </row>
    <row r="77" customFormat="false" ht="15" hidden="false" customHeight="false" outlineLevel="0" collapsed="false">
      <c r="A77" s="7" t="s">
        <v>528</v>
      </c>
      <c r="B77" s="7" t="s">
        <v>529</v>
      </c>
      <c r="C77" s="7" t="s">
        <v>377</v>
      </c>
      <c r="D77" s="7" t="s">
        <v>33</v>
      </c>
      <c r="E77" s="7" t="s">
        <v>34</v>
      </c>
    </row>
    <row r="78" customFormat="false" ht="15" hidden="false" customHeight="false" outlineLevel="0" collapsed="false">
      <c r="A78" s="7" t="s">
        <v>530</v>
      </c>
      <c r="B78" s="7" t="s">
        <v>531</v>
      </c>
      <c r="C78" s="7" t="s">
        <v>377</v>
      </c>
      <c r="D78" s="7" t="s">
        <v>33</v>
      </c>
      <c r="E78" s="7" t="s">
        <v>34</v>
      </c>
    </row>
    <row r="79" customFormat="false" ht="15" hidden="false" customHeight="false" outlineLevel="0" collapsed="false">
      <c r="A79" s="7" t="s">
        <v>532</v>
      </c>
      <c r="B79" s="7" t="s">
        <v>533</v>
      </c>
      <c r="C79" s="7" t="s">
        <v>384</v>
      </c>
      <c r="D79" s="7" t="s">
        <v>33</v>
      </c>
      <c r="E79" s="7" t="s">
        <v>34</v>
      </c>
    </row>
    <row r="80" customFormat="false" ht="15" hidden="false" customHeight="false" outlineLevel="0" collapsed="false">
      <c r="A80" s="7" t="s">
        <v>534</v>
      </c>
      <c r="B80" s="7" t="s">
        <v>535</v>
      </c>
      <c r="C80" s="7" t="s">
        <v>377</v>
      </c>
      <c r="D80" s="7" t="s">
        <v>33</v>
      </c>
      <c r="E80" s="7" t="s">
        <v>34</v>
      </c>
    </row>
    <row r="81" customFormat="false" ht="15" hidden="false" customHeight="false" outlineLevel="0" collapsed="false">
      <c r="A81" s="9" t="s">
        <v>536</v>
      </c>
      <c r="B81" s="9" t="s">
        <v>537</v>
      </c>
      <c r="C81" s="9" t="s">
        <v>377</v>
      </c>
      <c r="D81" s="9" t="s">
        <v>47</v>
      </c>
      <c r="E81" s="9" t="s">
        <v>48</v>
      </c>
    </row>
    <row r="82" customFormat="false" ht="15" hidden="false" customHeight="false" outlineLevel="0" collapsed="false">
      <c r="A82" s="7" t="s">
        <v>538</v>
      </c>
      <c r="B82" s="7" t="s">
        <v>539</v>
      </c>
      <c r="C82" s="7" t="s">
        <v>384</v>
      </c>
      <c r="D82" s="7" t="s">
        <v>33</v>
      </c>
      <c r="E82" s="7" t="s">
        <v>34</v>
      </c>
    </row>
    <row r="83" customFormat="false" ht="15" hidden="false" customHeight="false" outlineLevel="0" collapsed="false">
      <c r="A83" s="7" t="s">
        <v>540</v>
      </c>
      <c r="B83" s="7" t="s">
        <v>541</v>
      </c>
      <c r="C83" s="7" t="s">
        <v>384</v>
      </c>
      <c r="D83" s="7" t="s">
        <v>33</v>
      </c>
      <c r="E83" s="7" t="s">
        <v>34</v>
      </c>
    </row>
    <row r="84" customFormat="false" ht="15" hidden="false" customHeight="false" outlineLevel="0" collapsed="false">
      <c r="A84" s="7" t="s">
        <v>542</v>
      </c>
      <c r="B84" s="7" t="s">
        <v>543</v>
      </c>
      <c r="C84" s="7" t="s">
        <v>377</v>
      </c>
      <c r="D84" s="7" t="s">
        <v>33</v>
      </c>
      <c r="E84" s="7" t="s">
        <v>34</v>
      </c>
    </row>
    <row r="85" customFormat="false" ht="15" hidden="false" customHeight="false" outlineLevel="0" collapsed="false">
      <c r="A85" s="7" t="s">
        <v>544</v>
      </c>
      <c r="B85" s="7" t="s">
        <v>545</v>
      </c>
      <c r="C85" s="7" t="s">
        <v>384</v>
      </c>
      <c r="D85" s="7" t="s">
        <v>33</v>
      </c>
      <c r="E85" s="7" t="s">
        <v>34</v>
      </c>
    </row>
    <row r="86" customFormat="false" ht="15" hidden="false" customHeight="false" outlineLevel="0" collapsed="false">
      <c r="A86" s="7" t="s">
        <v>546</v>
      </c>
      <c r="B86" s="7" t="s">
        <v>547</v>
      </c>
      <c r="C86" s="7" t="s">
        <v>377</v>
      </c>
      <c r="D86" s="7" t="s">
        <v>33</v>
      </c>
      <c r="E86" s="7" t="s">
        <v>34</v>
      </c>
    </row>
    <row r="87" customFormat="false" ht="15" hidden="false" customHeight="false" outlineLevel="0" collapsed="false">
      <c r="A87" s="7" t="s">
        <v>548</v>
      </c>
      <c r="B87" s="7" t="s">
        <v>549</v>
      </c>
      <c r="C87" s="7" t="s">
        <v>384</v>
      </c>
      <c r="D87" s="7" t="s">
        <v>33</v>
      </c>
      <c r="E87" s="7" t="s">
        <v>34</v>
      </c>
    </row>
    <row r="88" customFormat="false" ht="15" hidden="false" customHeight="false" outlineLevel="0" collapsed="false">
      <c r="A88" s="7" t="s">
        <v>550</v>
      </c>
      <c r="B88" s="7" t="s">
        <v>551</v>
      </c>
      <c r="C88" s="7" t="s">
        <v>377</v>
      </c>
      <c r="D88" s="7" t="s">
        <v>33</v>
      </c>
      <c r="E88" s="7" t="s">
        <v>34</v>
      </c>
    </row>
    <row r="89" customFormat="false" ht="15" hidden="false" customHeight="false" outlineLevel="0" collapsed="false">
      <c r="A89" s="7" t="s">
        <v>552</v>
      </c>
      <c r="B89" s="7" t="s">
        <v>553</v>
      </c>
      <c r="C89" s="7" t="s">
        <v>377</v>
      </c>
      <c r="D89" s="7" t="s">
        <v>33</v>
      </c>
      <c r="E89" s="7" t="s">
        <v>34</v>
      </c>
    </row>
    <row r="90" customFormat="false" ht="15" hidden="false" customHeight="false" outlineLevel="0" collapsed="false">
      <c r="A90" s="7" t="s">
        <v>554</v>
      </c>
      <c r="B90" s="7" t="s">
        <v>555</v>
      </c>
      <c r="C90" s="7" t="s">
        <v>377</v>
      </c>
      <c r="D90" s="7" t="s">
        <v>33</v>
      </c>
      <c r="E90" s="7" t="s">
        <v>34</v>
      </c>
    </row>
    <row r="91" customFormat="false" ht="15" hidden="false" customHeight="false" outlineLevel="0" collapsed="false">
      <c r="A91" s="7" t="s">
        <v>556</v>
      </c>
      <c r="B91" s="7" t="s">
        <v>557</v>
      </c>
      <c r="C91" s="7" t="s">
        <v>377</v>
      </c>
      <c r="D91" s="7" t="s">
        <v>33</v>
      </c>
      <c r="E91" s="7" t="s">
        <v>34</v>
      </c>
    </row>
    <row r="92" customFormat="false" ht="15" hidden="false" customHeight="false" outlineLevel="0" collapsed="false">
      <c r="A92" s="7" t="s">
        <v>558</v>
      </c>
      <c r="B92" s="7" t="s">
        <v>559</v>
      </c>
      <c r="C92" s="7" t="s">
        <v>377</v>
      </c>
      <c r="D92" s="7" t="s">
        <v>33</v>
      </c>
      <c r="E92" s="7" t="s">
        <v>34</v>
      </c>
    </row>
    <row r="93" customFormat="false" ht="15" hidden="false" customHeight="false" outlineLevel="0" collapsed="false">
      <c r="A93" s="9" t="s">
        <v>560</v>
      </c>
      <c r="B93" s="9" t="s">
        <v>561</v>
      </c>
      <c r="C93" s="9" t="s">
        <v>377</v>
      </c>
      <c r="D93" s="9" t="s">
        <v>81</v>
      </c>
      <c r="E93" s="9" t="s">
        <v>82</v>
      </c>
    </row>
    <row r="94" customFormat="false" ht="15" hidden="false" customHeight="false" outlineLevel="0" collapsed="false">
      <c r="A94" s="7" t="s">
        <v>562</v>
      </c>
      <c r="B94" s="7" t="s">
        <v>563</v>
      </c>
      <c r="C94" s="7" t="s">
        <v>377</v>
      </c>
      <c r="D94" s="7" t="s">
        <v>33</v>
      </c>
      <c r="E94" s="7" t="s">
        <v>34</v>
      </c>
    </row>
    <row r="95" customFormat="false" ht="15" hidden="false" customHeight="false" outlineLevel="0" collapsed="false">
      <c r="A95" s="7" t="s">
        <v>564</v>
      </c>
      <c r="B95" s="7" t="s">
        <v>565</v>
      </c>
      <c r="C95" s="7" t="s">
        <v>377</v>
      </c>
      <c r="D95" s="7" t="s">
        <v>33</v>
      </c>
      <c r="E95" s="7" t="s">
        <v>34</v>
      </c>
    </row>
    <row r="96" customFormat="false" ht="15" hidden="false" customHeight="false" outlineLevel="0" collapsed="false">
      <c r="A96" s="7" t="s">
        <v>566</v>
      </c>
      <c r="B96" s="7" t="s">
        <v>567</v>
      </c>
      <c r="C96" s="7" t="s">
        <v>377</v>
      </c>
      <c r="D96" s="7" t="s">
        <v>33</v>
      </c>
      <c r="E96" s="7" t="s">
        <v>34</v>
      </c>
    </row>
    <row r="97" customFormat="false" ht="15" hidden="false" customHeight="false" outlineLevel="0" collapsed="false">
      <c r="A97" s="7" t="s">
        <v>568</v>
      </c>
      <c r="B97" s="7" t="s">
        <v>569</v>
      </c>
      <c r="C97" s="7" t="s">
        <v>377</v>
      </c>
      <c r="D97" s="7" t="s">
        <v>33</v>
      </c>
      <c r="E97" s="7" t="s">
        <v>34</v>
      </c>
    </row>
    <row r="98" customFormat="false" ht="15" hidden="false" customHeight="false" outlineLevel="0" collapsed="false">
      <c r="A98" s="7" t="s">
        <v>570</v>
      </c>
      <c r="B98" s="7" t="s">
        <v>571</v>
      </c>
      <c r="C98" s="7" t="s">
        <v>384</v>
      </c>
      <c r="D98" s="7" t="s">
        <v>33</v>
      </c>
      <c r="E98" s="7" t="s">
        <v>34</v>
      </c>
    </row>
    <row r="99" customFormat="false" ht="15" hidden="false" customHeight="false" outlineLevel="0" collapsed="false">
      <c r="A99" s="7" t="s">
        <v>572</v>
      </c>
      <c r="B99" s="7" t="s">
        <v>573</v>
      </c>
      <c r="C99" s="7" t="s">
        <v>377</v>
      </c>
      <c r="D99" s="7" t="s">
        <v>33</v>
      </c>
      <c r="E99" s="7" t="s">
        <v>34</v>
      </c>
    </row>
    <row r="100" customFormat="false" ht="15" hidden="false" customHeight="false" outlineLevel="0" collapsed="false">
      <c r="A100" s="9" t="s">
        <v>574</v>
      </c>
      <c r="B100" s="9" t="s">
        <v>575</v>
      </c>
      <c r="C100" s="9" t="s">
        <v>377</v>
      </c>
      <c r="D100" s="9" t="s">
        <v>81</v>
      </c>
      <c r="E100" s="9" t="s">
        <v>82</v>
      </c>
    </row>
    <row r="101" customFormat="false" ht="15" hidden="false" customHeight="false" outlineLevel="0" collapsed="false">
      <c r="A101" s="7" t="s">
        <v>576</v>
      </c>
      <c r="B101" s="7" t="s">
        <v>577</v>
      </c>
      <c r="C101" s="7" t="s">
        <v>384</v>
      </c>
      <c r="D101" s="7" t="s">
        <v>33</v>
      </c>
      <c r="E101" s="7" t="s">
        <v>34</v>
      </c>
    </row>
    <row r="102" customFormat="false" ht="15" hidden="false" customHeight="false" outlineLevel="0" collapsed="false">
      <c r="A102" s="7" t="s">
        <v>578</v>
      </c>
      <c r="B102" s="7" t="s">
        <v>579</v>
      </c>
      <c r="C102" s="7" t="s">
        <v>384</v>
      </c>
      <c r="D102" s="7" t="s">
        <v>33</v>
      </c>
      <c r="E102" s="7" t="s">
        <v>34</v>
      </c>
    </row>
    <row r="103" customFormat="false" ht="15" hidden="false" customHeight="false" outlineLevel="0" collapsed="false">
      <c r="A103" s="7" t="s">
        <v>580</v>
      </c>
      <c r="B103" s="7" t="s">
        <v>581</v>
      </c>
      <c r="C103" s="7" t="s">
        <v>377</v>
      </c>
      <c r="D103" s="7" t="s">
        <v>33</v>
      </c>
      <c r="E103" s="7" t="s">
        <v>34</v>
      </c>
    </row>
    <row r="104" customFormat="false" ht="15" hidden="false" customHeight="false" outlineLevel="0" collapsed="false">
      <c r="A104" s="7" t="s">
        <v>582</v>
      </c>
      <c r="B104" s="7" t="s">
        <v>583</v>
      </c>
      <c r="C104" s="7" t="s">
        <v>377</v>
      </c>
      <c r="D104" s="7" t="s">
        <v>33</v>
      </c>
      <c r="E104" s="7" t="s">
        <v>34</v>
      </c>
    </row>
    <row r="105" customFormat="false" ht="15" hidden="false" customHeight="false" outlineLevel="0" collapsed="false">
      <c r="A105" s="7" t="s">
        <v>584</v>
      </c>
      <c r="B105" s="7" t="s">
        <v>585</v>
      </c>
      <c r="C105" s="7" t="s">
        <v>377</v>
      </c>
      <c r="D105" s="7" t="s">
        <v>33</v>
      </c>
      <c r="E105" s="7" t="s">
        <v>34</v>
      </c>
    </row>
    <row r="106" customFormat="false" ht="15" hidden="false" customHeight="false" outlineLevel="0" collapsed="false">
      <c r="A106" s="7" t="s">
        <v>586</v>
      </c>
      <c r="B106" s="7" t="s">
        <v>587</v>
      </c>
      <c r="C106" s="7" t="s">
        <v>377</v>
      </c>
      <c r="D106" s="7" t="s">
        <v>33</v>
      </c>
      <c r="E106" s="7" t="s">
        <v>34</v>
      </c>
    </row>
    <row r="107" customFormat="false" ht="15" hidden="false" customHeight="false" outlineLevel="0" collapsed="false">
      <c r="A107" s="7" t="s">
        <v>588</v>
      </c>
      <c r="B107" s="7" t="s">
        <v>589</v>
      </c>
      <c r="C107" s="7" t="s">
        <v>377</v>
      </c>
      <c r="D107" s="7" t="s">
        <v>33</v>
      </c>
      <c r="E107" s="7" t="s">
        <v>34</v>
      </c>
    </row>
    <row r="108" customFormat="false" ht="15" hidden="false" customHeight="false" outlineLevel="0" collapsed="false">
      <c r="A108" s="7" t="s">
        <v>590</v>
      </c>
      <c r="B108" s="7" t="s">
        <v>591</v>
      </c>
      <c r="C108" s="7" t="s">
        <v>377</v>
      </c>
      <c r="D108" s="7" t="s">
        <v>33</v>
      </c>
      <c r="E108" s="7" t="s">
        <v>34</v>
      </c>
    </row>
    <row r="109" customFormat="false" ht="15" hidden="false" customHeight="false" outlineLevel="0" collapsed="false">
      <c r="A109" s="7" t="s">
        <v>592</v>
      </c>
      <c r="B109" s="7" t="s">
        <v>593</v>
      </c>
      <c r="C109" s="7" t="s">
        <v>377</v>
      </c>
      <c r="D109" s="7" t="s">
        <v>33</v>
      </c>
      <c r="E109" s="7" t="s">
        <v>34</v>
      </c>
    </row>
    <row r="110" customFormat="false" ht="15" hidden="false" customHeight="false" outlineLevel="0" collapsed="false">
      <c r="A110" s="7" t="s">
        <v>594</v>
      </c>
      <c r="B110" s="7" t="s">
        <v>595</v>
      </c>
      <c r="C110" s="7" t="s">
        <v>384</v>
      </c>
      <c r="D110" s="7" t="s">
        <v>33</v>
      </c>
      <c r="E110" s="7" t="s">
        <v>34</v>
      </c>
    </row>
    <row r="111" customFormat="false" ht="15" hidden="false" customHeight="false" outlineLevel="0" collapsed="false">
      <c r="A111" s="7" t="s">
        <v>596</v>
      </c>
      <c r="B111" s="7" t="s">
        <v>597</v>
      </c>
      <c r="C111" s="7" t="s">
        <v>384</v>
      </c>
      <c r="D111" s="7" t="s">
        <v>33</v>
      </c>
      <c r="E111" s="7" t="s">
        <v>34</v>
      </c>
    </row>
    <row r="112" customFormat="false" ht="15" hidden="false" customHeight="false" outlineLevel="0" collapsed="false">
      <c r="A112" s="7" t="s">
        <v>598</v>
      </c>
      <c r="B112" s="7" t="s">
        <v>599</v>
      </c>
      <c r="C112" s="7" t="s">
        <v>384</v>
      </c>
      <c r="D112" s="7" t="s">
        <v>33</v>
      </c>
      <c r="E112" s="7" t="s">
        <v>34</v>
      </c>
    </row>
    <row r="113" customFormat="false" ht="15" hidden="false" customHeight="false" outlineLevel="0" collapsed="false">
      <c r="A113" s="7" t="s">
        <v>600</v>
      </c>
      <c r="B113" s="7" t="s">
        <v>601</v>
      </c>
      <c r="C113" s="7" t="s">
        <v>384</v>
      </c>
      <c r="D113" s="7" t="s">
        <v>33</v>
      </c>
      <c r="E113" s="7" t="s">
        <v>34</v>
      </c>
    </row>
    <row r="114" customFormat="false" ht="15" hidden="false" customHeight="false" outlineLevel="0" collapsed="false">
      <c r="A114" s="7" t="s">
        <v>602</v>
      </c>
      <c r="B114" s="7" t="s">
        <v>603</v>
      </c>
      <c r="C114" s="7" t="s">
        <v>384</v>
      </c>
      <c r="D114" s="7" t="s">
        <v>33</v>
      </c>
      <c r="E114" s="7" t="s">
        <v>34</v>
      </c>
    </row>
    <row r="115" customFormat="false" ht="15" hidden="false" customHeight="false" outlineLevel="0" collapsed="false">
      <c r="A115" s="7" t="s">
        <v>604</v>
      </c>
      <c r="B115" s="7" t="s">
        <v>605</v>
      </c>
      <c r="C115" s="7" t="s">
        <v>377</v>
      </c>
      <c r="D115" s="7" t="s">
        <v>33</v>
      </c>
      <c r="E115" s="7" t="s">
        <v>34</v>
      </c>
    </row>
    <row r="116" customFormat="false" ht="15" hidden="false" customHeight="false" outlineLevel="0" collapsed="false">
      <c r="A116" s="7" t="s">
        <v>606</v>
      </c>
      <c r="B116" s="7" t="s">
        <v>607</v>
      </c>
      <c r="C116" s="7" t="s">
        <v>377</v>
      </c>
      <c r="D116" s="7" t="s">
        <v>33</v>
      </c>
      <c r="E116" s="7" t="s">
        <v>34</v>
      </c>
    </row>
    <row r="117" customFormat="false" ht="15" hidden="false" customHeight="false" outlineLevel="0" collapsed="false">
      <c r="A117" s="7" t="s">
        <v>608</v>
      </c>
      <c r="B117" s="7" t="s">
        <v>609</v>
      </c>
      <c r="C117" s="7" t="s">
        <v>377</v>
      </c>
      <c r="D117" s="7" t="s">
        <v>33</v>
      </c>
      <c r="E117" s="7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3"/>
    <col collapsed="false" customWidth="true" hidden="false" outlineLevel="0" max="3" min="3" style="0" width="30"/>
    <col collapsed="false" customWidth="true" hidden="false" outlineLevel="0" max="4" min="4" style="0" width="24"/>
    <col collapsed="false" customWidth="true" hidden="false" outlineLevel="0" max="5" min="5" style="0" width="20"/>
    <col collapsed="false" customWidth="true" hidden="false" outlineLevel="0" max="7" min="6" style="0" width="22"/>
    <col collapsed="false" customWidth="true" hidden="false" outlineLevel="0" max="9" min="8" style="0" width="14"/>
    <col collapsed="false" customWidth="true" hidden="false" outlineLevel="0" max="10" min="10" style="0" width="26"/>
    <col collapsed="false" customWidth="true" hidden="false" outlineLevel="0" max="11" min="11" style="0" width="20"/>
    <col collapsed="false" customWidth="true" hidden="false" outlineLevel="0" max="12" min="12" style="0" width="14"/>
    <col collapsed="false" customWidth="true" hidden="false" outlineLevel="0" max="13" min="13" style="0" width="40"/>
  </cols>
  <sheetData>
    <row r="1" customFormat="false" ht="23.85" hidden="false" customHeight="false" outlineLevel="0" collapsed="false">
      <c r="A1" s="6" t="s">
        <v>610</v>
      </c>
      <c r="B1" s="6" t="s">
        <v>611</v>
      </c>
      <c r="C1" s="6" t="s">
        <v>612</v>
      </c>
      <c r="D1" s="6" t="s">
        <v>613</v>
      </c>
      <c r="E1" s="6" t="s">
        <v>614</v>
      </c>
      <c r="F1" s="6" t="s">
        <v>615</v>
      </c>
      <c r="G1" s="6" t="s">
        <v>406</v>
      </c>
      <c r="H1" s="6" t="s">
        <v>616</v>
      </c>
      <c r="I1" s="6" t="s">
        <v>617</v>
      </c>
      <c r="J1" s="6" t="s">
        <v>618</v>
      </c>
      <c r="K1" s="6" t="s">
        <v>619</v>
      </c>
      <c r="L1" s="6" t="s">
        <v>536</v>
      </c>
      <c r="M1" s="6" t="s">
        <v>620</v>
      </c>
    </row>
    <row r="2" customFormat="false" ht="15" hidden="false" customHeight="false" outlineLevel="0" collapsed="false">
      <c r="A2" s="7" t="s">
        <v>621</v>
      </c>
      <c r="B2" s="7" t="s">
        <v>622</v>
      </c>
      <c r="C2" s="7" t="s">
        <v>115</v>
      </c>
      <c r="D2" s="7" t="s">
        <v>623</v>
      </c>
      <c r="E2" s="7" t="s">
        <v>624</v>
      </c>
      <c r="F2" s="7" t="s">
        <v>625</v>
      </c>
      <c r="G2" s="7" t="s">
        <v>626</v>
      </c>
      <c r="H2" s="7" t="n">
        <v>4.2</v>
      </c>
      <c r="I2" s="7" t="s">
        <v>627</v>
      </c>
      <c r="J2" s="7" t="s">
        <v>628</v>
      </c>
      <c r="K2" s="7" t="s">
        <v>629</v>
      </c>
      <c r="L2" s="7" t="n">
        <v>481660000</v>
      </c>
      <c r="M2" s="7" t="s">
        <v>630</v>
      </c>
    </row>
    <row r="3" customFormat="false" ht="15" hidden="false" customHeight="false" outlineLevel="0" collapsed="false">
      <c r="A3" s="7" t="s">
        <v>621</v>
      </c>
      <c r="B3" s="7" t="s">
        <v>631</v>
      </c>
      <c r="C3" s="7" t="s">
        <v>115</v>
      </c>
      <c r="D3" s="7" t="s">
        <v>623</v>
      </c>
      <c r="E3" s="7" t="s">
        <v>624</v>
      </c>
      <c r="F3" s="7" t="s">
        <v>625</v>
      </c>
      <c r="G3" s="7" t="s">
        <v>626</v>
      </c>
      <c r="H3" s="7" t="n">
        <v>4.032</v>
      </c>
      <c r="I3" s="7" t="s">
        <v>627</v>
      </c>
      <c r="J3" s="7" t="s">
        <v>628</v>
      </c>
      <c r="K3" s="7" t="s">
        <v>632</v>
      </c>
      <c r="L3" s="7" t="n">
        <v>481660097</v>
      </c>
      <c r="M3" s="7" t="s">
        <v>630</v>
      </c>
    </row>
    <row r="4" customFormat="false" ht="15" hidden="false" customHeight="false" outlineLevel="0" collapsed="false">
      <c r="A4" s="7" t="s">
        <v>621</v>
      </c>
      <c r="B4" s="7" t="s">
        <v>633</v>
      </c>
      <c r="C4" s="7" t="s">
        <v>115</v>
      </c>
      <c r="D4" s="7" t="s">
        <v>623</v>
      </c>
      <c r="E4" s="7" t="s">
        <v>624</v>
      </c>
      <c r="F4" s="7" t="s">
        <v>625</v>
      </c>
      <c r="G4" s="7" t="s">
        <v>626</v>
      </c>
      <c r="H4" s="7" t="n">
        <v>4.41</v>
      </c>
      <c r="I4" s="7" t="s">
        <v>627</v>
      </c>
      <c r="J4" s="7" t="s">
        <v>628</v>
      </c>
      <c r="K4" s="7" t="s">
        <v>634</v>
      </c>
      <c r="L4" s="7" t="n">
        <v>481660194</v>
      </c>
      <c r="M4" s="7" t="s">
        <v>630</v>
      </c>
    </row>
    <row r="5" customFormat="false" ht="15" hidden="false" customHeight="false" outlineLevel="0" collapsed="false">
      <c r="A5" s="7" t="s">
        <v>621</v>
      </c>
      <c r="B5" s="7" t="s">
        <v>635</v>
      </c>
      <c r="C5" s="7" t="s">
        <v>115</v>
      </c>
      <c r="D5" s="7" t="s">
        <v>623</v>
      </c>
      <c r="E5" s="7" t="s">
        <v>624</v>
      </c>
      <c r="F5" s="7" t="s">
        <v>625</v>
      </c>
      <c r="G5" s="7" t="s">
        <v>626</v>
      </c>
      <c r="H5" s="7" t="n">
        <v>4.284</v>
      </c>
      <c r="I5" s="7" t="s">
        <v>627</v>
      </c>
      <c r="J5" s="7" t="s">
        <v>628</v>
      </c>
      <c r="K5" s="7" t="s">
        <v>636</v>
      </c>
      <c r="L5" s="7" t="n">
        <v>481660291</v>
      </c>
      <c r="M5" s="7" t="s">
        <v>630</v>
      </c>
    </row>
    <row r="6" customFormat="false" ht="15" hidden="false" customHeight="false" outlineLevel="0" collapsed="false">
      <c r="A6" s="7" t="s">
        <v>621</v>
      </c>
      <c r="B6" s="7" t="s">
        <v>637</v>
      </c>
      <c r="C6" s="7" t="s">
        <v>129</v>
      </c>
      <c r="D6" s="7" t="s">
        <v>623</v>
      </c>
      <c r="E6" s="7" t="s">
        <v>624</v>
      </c>
      <c r="F6" s="7" t="s">
        <v>625</v>
      </c>
      <c r="G6" s="7" t="s">
        <v>626</v>
      </c>
      <c r="H6" s="7" t="n">
        <v>182</v>
      </c>
      <c r="I6" s="7" t="s">
        <v>638</v>
      </c>
      <c r="J6" s="7" t="s">
        <v>639</v>
      </c>
      <c r="K6" s="7" t="s">
        <v>640</v>
      </c>
      <c r="L6" s="7" t="n">
        <v>481660600</v>
      </c>
      <c r="M6" s="7" t="s">
        <v>641</v>
      </c>
    </row>
    <row r="7" customFormat="false" ht="15" hidden="false" customHeight="false" outlineLevel="0" collapsed="false">
      <c r="A7" s="7" t="s">
        <v>621</v>
      </c>
      <c r="B7" s="7" t="s">
        <v>642</v>
      </c>
      <c r="C7" s="7" t="s">
        <v>129</v>
      </c>
      <c r="D7" s="7" t="s">
        <v>623</v>
      </c>
      <c r="E7" s="7" t="s">
        <v>624</v>
      </c>
      <c r="F7" s="7" t="s">
        <v>625</v>
      </c>
      <c r="G7" s="7" t="s">
        <v>626</v>
      </c>
      <c r="H7" s="7" t="n">
        <v>174.72</v>
      </c>
      <c r="I7" s="7" t="s">
        <v>638</v>
      </c>
      <c r="J7" s="7" t="s">
        <v>639</v>
      </c>
      <c r="K7" s="7" t="s">
        <v>643</v>
      </c>
      <c r="L7" s="7" t="n">
        <v>481660697</v>
      </c>
      <c r="M7" s="7" t="s">
        <v>641</v>
      </c>
    </row>
    <row r="8" customFormat="false" ht="15" hidden="false" customHeight="false" outlineLevel="0" collapsed="false">
      <c r="A8" s="7" t="s">
        <v>621</v>
      </c>
      <c r="B8" s="7" t="s">
        <v>644</v>
      </c>
      <c r="C8" s="7" t="s">
        <v>129</v>
      </c>
      <c r="D8" s="7" t="s">
        <v>623</v>
      </c>
      <c r="E8" s="7" t="s">
        <v>624</v>
      </c>
      <c r="F8" s="7" t="s">
        <v>625</v>
      </c>
      <c r="G8" s="7" t="s">
        <v>626</v>
      </c>
      <c r="H8" s="7" t="n">
        <v>191.1</v>
      </c>
      <c r="I8" s="7" t="s">
        <v>638</v>
      </c>
      <c r="J8" s="7" t="s">
        <v>639</v>
      </c>
      <c r="K8" s="7" t="s">
        <v>645</v>
      </c>
      <c r="L8" s="7" t="n">
        <v>481660794</v>
      </c>
      <c r="M8" s="7" t="s">
        <v>641</v>
      </c>
    </row>
    <row r="9" customFormat="false" ht="15" hidden="false" customHeight="false" outlineLevel="0" collapsed="false">
      <c r="A9" s="7" t="s">
        <v>621</v>
      </c>
      <c r="B9" s="7" t="s">
        <v>646</v>
      </c>
      <c r="C9" s="7" t="s">
        <v>129</v>
      </c>
      <c r="D9" s="7" t="s">
        <v>623</v>
      </c>
      <c r="E9" s="7" t="s">
        <v>624</v>
      </c>
      <c r="F9" s="7" t="s">
        <v>625</v>
      </c>
      <c r="G9" s="7" t="s">
        <v>626</v>
      </c>
      <c r="H9" s="7" t="n">
        <v>185.64</v>
      </c>
      <c r="I9" s="7" t="s">
        <v>638</v>
      </c>
      <c r="J9" s="7" t="s">
        <v>639</v>
      </c>
      <c r="K9" s="7" t="s">
        <v>647</v>
      </c>
      <c r="L9" s="7" t="n">
        <v>481660891</v>
      </c>
      <c r="M9" s="7" t="s">
        <v>641</v>
      </c>
    </row>
    <row r="10" customFormat="false" ht="15" hidden="false" customHeight="false" outlineLevel="0" collapsed="false">
      <c r="A10" s="7" t="s">
        <v>621</v>
      </c>
      <c r="B10" s="7" t="s">
        <v>648</v>
      </c>
      <c r="C10" s="7" t="s">
        <v>267</v>
      </c>
      <c r="D10" s="7" t="s">
        <v>623</v>
      </c>
      <c r="E10" s="7" t="s">
        <v>624</v>
      </c>
      <c r="F10" s="7" t="s">
        <v>649</v>
      </c>
      <c r="G10" s="7" t="s">
        <v>626</v>
      </c>
      <c r="H10" s="7" t="n">
        <v>1.21</v>
      </c>
      <c r="I10" s="7" t="s">
        <v>650</v>
      </c>
      <c r="J10" s="7" t="s">
        <v>651</v>
      </c>
      <c r="K10" s="7" t="s">
        <v>652</v>
      </c>
      <c r="L10" s="7" t="n">
        <v>481661200</v>
      </c>
      <c r="M10" s="7" t="s">
        <v>653</v>
      </c>
    </row>
    <row r="11" customFormat="false" ht="15" hidden="false" customHeight="false" outlineLevel="0" collapsed="false">
      <c r="A11" s="7" t="s">
        <v>621</v>
      </c>
      <c r="B11" s="7" t="s">
        <v>654</v>
      </c>
      <c r="C11" s="7" t="s">
        <v>267</v>
      </c>
      <c r="D11" s="7" t="s">
        <v>623</v>
      </c>
      <c r="E11" s="7" t="s">
        <v>624</v>
      </c>
      <c r="F11" s="7" t="s">
        <v>649</v>
      </c>
      <c r="G11" s="7" t="s">
        <v>626</v>
      </c>
      <c r="H11" s="7" t="n">
        <v>1.1616</v>
      </c>
      <c r="I11" s="7" t="s">
        <v>650</v>
      </c>
      <c r="J11" s="7" t="s">
        <v>651</v>
      </c>
      <c r="K11" s="7" t="s">
        <v>655</v>
      </c>
      <c r="L11" s="7" t="n">
        <v>481661297</v>
      </c>
      <c r="M11" s="7" t="s">
        <v>653</v>
      </c>
    </row>
    <row r="12" customFormat="false" ht="15" hidden="false" customHeight="false" outlineLevel="0" collapsed="false">
      <c r="A12" s="7" t="s">
        <v>621</v>
      </c>
      <c r="B12" s="7" t="s">
        <v>656</v>
      </c>
      <c r="C12" s="7" t="s">
        <v>267</v>
      </c>
      <c r="D12" s="7" t="s">
        <v>623</v>
      </c>
      <c r="E12" s="7" t="s">
        <v>624</v>
      </c>
      <c r="F12" s="7" t="s">
        <v>649</v>
      </c>
      <c r="G12" s="7" t="s">
        <v>626</v>
      </c>
      <c r="H12" s="7" t="n">
        <v>1.2705</v>
      </c>
      <c r="I12" s="7" t="s">
        <v>650</v>
      </c>
      <c r="J12" s="7" t="s">
        <v>651</v>
      </c>
      <c r="K12" s="7" t="s">
        <v>657</v>
      </c>
      <c r="L12" s="7" t="n">
        <v>481661394</v>
      </c>
      <c r="M12" s="7" t="s">
        <v>653</v>
      </c>
    </row>
    <row r="13" customFormat="false" ht="15" hidden="false" customHeight="false" outlineLevel="0" collapsed="false">
      <c r="A13" s="7" t="s">
        <v>621</v>
      </c>
      <c r="B13" s="7" t="s">
        <v>658</v>
      </c>
      <c r="C13" s="7" t="s">
        <v>267</v>
      </c>
      <c r="D13" s="7" t="s">
        <v>623</v>
      </c>
      <c r="E13" s="7" t="s">
        <v>624</v>
      </c>
      <c r="F13" s="7" t="s">
        <v>649</v>
      </c>
      <c r="G13" s="7" t="s">
        <v>626</v>
      </c>
      <c r="H13" s="7" t="n">
        <v>1.2342</v>
      </c>
      <c r="I13" s="7" t="s">
        <v>650</v>
      </c>
      <c r="J13" s="7" t="s">
        <v>651</v>
      </c>
      <c r="K13" s="7" t="s">
        <v>659</v>
      </c>
      <c r="L13" s="7" t="n">
        <v>481661491</v>
      </c>
      <c r="M13" s="7" t="s">
        <v>653</v>
      </c>
    </row>
    <row r="14" customFormat="false" ht="23.85" hidden="false" customHeight="false" outlineLevel="0" collapsed="false">
      <c r="A14" s="7" t="s">
        <v>621</v>
      </c>
      <c r="B14" s="7" t="s">
        <v>660</v>
      </c>
      <c r="C14" s="7" t="s">
        <v>111</v>
      </c>
      <c r="D14" s="7" t="s">
        <v>661</v>
      </c>
      <c r="E14" s="7" t="s">
        <v>624</v>
      </c>
      <c r="F14" s="7" t="s">
        <v>662</v>
      </c>
      <c r="G14" s="7" t="s">
        <v>626</v>
      </c>
      <c r="H14" s="7" t="n">
        <v>10</v>
      </c>
      <c r="I14" s="7" t="s">
        <v>663</v>
      </c>
      <c r="J14" s="7" t="s">
        <v>664</v>
      </c>
      <c r="K14" s="7" t="s">
        <v>665</v>
      </c>
      <c r="L14" s="7" t="n">
        <v>481661800</v>
      </c>
      <c r="M14" s="7" t="s">
        <v>666</v>
      </c>
    </row>
    <row r="15" customFormat="false" ht="23.85" hidden="false" customHeight="false" outlineLevel="0" collapsed="false">
      <c r="A15" s="7" t="s">
        <v>621</v>
      </c>
      <c r="B15" s="7" t="s">
        <v>667</v>
      </c>
      <c r="C15" s="7" t="s">
        <v>111</v>
      </c>
      <c r="D15" s="7" t="s">
        <v>661</v>
      </c>
      <c r="E15" s="7" t="s">
        <v>624</v>
      </c>
      <c r="F15" s="7" t="s">
        <v>662</v>
      </c>
      <c r="G15" s="7" t="s">
        <v>626</v>
      </c>
      <c r="H15" s="7" t="n">
        <v>9.6</v>
      </c>
      <c r="I15" s="7" t="s">
        <v>663</v>
      </c>
      <c r="J15" s="7" t="s">
        <v>664</v>
      </c>
      <c r="K15" s="7" t="s">
        <v>668</v>
      </c>
      <c r="L15" s="7" t="n">
        <v>481661897</v>
      </c>
      <c r="M15" s="7" t="s">
        <v>666</v>
      </c>
    </row>
    <row r="16" customFormat="false" ht="23.85" hidden="false" customHeight="false" outlineLevel="0" collapsed="false">
      <c r="A16" s="7" t="s">
        <v>621</v>
      </c>
      <c r="B16" s="7" t="s">
        <v>669</v>
      </c>
      <c r="C16" s="7" t="s">
        <v>111</v>
      </c>
      <c r="D16" s="7" t="s">
        <v>661</v>
      </c>
      <c r="E16" s="7" t="s">
        <v>624</v>
      </c>
      <c r="F16" s="7" t="s">
        <v>662</v>
      </c>
      <c r="G16" s="7" t="s">
        <v>626</v>
      </c>
      <c r="H16" s="7" t="n">
        <v>10.5</v>
      </c>
      <c r="I16" s="7" t="s">
        <v>663</v>
      </c>
      <c r="J16" s="7" t="s">
        <v>664</v>
      </c>
      <c r="K16" s="7" t="s">
        <v>670</v>
      </c>
      <c r="L16" s="7" t="n">
        <v>481661994</v>
      </c>
      <c r="M16" s="7" t="s">
        <v>666</v>
      </c>
    </row>
    <row r="17" customFormat="false" ht="23.85" hidden="false" customHeight="false" outlineLevel="0" collapsed="false">
      <c r="A17" s="7" t="s">
        <v>621</v>
      </c>
      <c r="B17" s="7" t="s">
        <v>671</v>
      </c>
      <c r="C17" s="7" t="s">
        <v>111</v>
      </c>
      <c r="D17" s="7" t="s">
        <v>661</v>
      </c>
      <c r="E17" s="7" t="s">
        <v>624</v>
      </c>
      <c r="F17" s="7" t="s">
        <v>662</v>
      </c>
      <c r="G17" s="7" t="s">
        <v>626</v>
      </c>
      <c r="H17" s="7" t="n">
        <v>10.2</v>
      </c>
      <c r="I17" s="7" t="s">
        <v>663</v>
      </c>
      <c r="J17" s="7" t="s">
        <v>664</v>
      </c>
      <c r="K17" s="7" t="s">
        <v>672</v>
      </c>
      <c r="L17" s="7" t="n">
        <v>481662091</v>
      </c>
      <c r="M17" s="7" t="s">
        <v>666</v>
      </c>
    </row>
    <row r="18" customFormat="false" ht="15" hidden="false" customHeight="false" outlineLevel="0" collapsed="false">
      <c r="A18" s="7" t="s">
        <v>621</v>
      </c>
      <c r="B18" s="7" t="s">
        <v>673</v>
      </c>
      <c r="C18" s="7" t="s">
        <v>105</v>
      </c>
      <c r="D18" s="7" t="s">
        <v>661</v>
      </c>
      <c r="E18" s="7" t="s">
        <v>624</v>
      </c>
      <c r="F18" s="7" t="s">
        <v>662</v>
      </c>
      <c r="G18" s="7" t="s">
        <v>626</v>
      </c>
      <c r="H18" s="7" t="n">
        <v>35.5</v>
      </c>
      <c r="I18" s="7" t="s">
        <v>638</v>
      </c>
      <c r="J18" s="7" t="s">
        <v>639</v>
      </c>
      <c r="K18" s="7" t="s">
        <v>674</v>
      </c>
      <c r="L18" s="7" t="n">
        <v>481662400</v>
      </c>
      <c r="M18" s="7" t="s">
        <v>675</v>
      </c>
    </row>
    <row r="19" customFormat="false" ht="15" hidden="false" customHeight="false" outlineLevel="0" collapsed="false">
      <c r="A19" s="7" t="s">
        <v>621</v>
      </c>
      <c r="B19" s="7" t="s">
        <v>676</v>
      </c>
      <c r="C19" s="7" t="s">
        <v>105</v>
      </c>
      <c r="D19" s="7" t="s">
        <v>661</v>
      </c>
      <c r="E19" s="7" t="s">
        <v>624</v>
      </c>
      <c r="F19" s="7" t="s">
        <v>662</v>
      </c>
      <c r="G19" s="7" t="s">
        <v>626</v>
      </c>
      <c r="H19" s="7" t="n">
        <v>34.08</v>
      </c>
      <c r="I19" s="7" t="s">
        <v>638</v>
      </c>
      <c r="J19" s="7" t="s">
        <v>639</v>
      </c>
      <c r="K19" s="7" t="s">
        <v>677</v>
      </c>
      <c r="L19" s="7" t="n">
        <v>481662497</v>
      </c>
      <c r="M19" s="7" t="s">
        <v>675</v>
      </c>
    </row>
    <row r="20" customFormat="false" ht="15" hidden="false" customHeight="false" outlineLevel="0" collapsed="false">
      <c r="A20" s="7" t="s">
        <v>621</v>
      </c>
      <c r="B20" s="7" t="s">
        <v>678</v>
      </c>
      <c r="C20" s="7" t="s">
        <v>105</v>
      </c>
      <c r="D20" s="7" t="s">
        <v>661</v>
      </c>
      <c r="E20" s="7" t="s">
        <v>624</v>
      </c>
      <c r="F20" s="7" t="s">
        <v>662</v>
      </c>
      <c r="G20" s="7" t="s">
        <v>626</v>
      </c>
      <c r="H20" s="7" t="n">
        <v>37.275</v>
      </c>
      <c r="I20" s="7" t="s">
        <v>638</v>
      </c>
      <c r="J20" s="7" t="s">
        <v>639</v>
      </c>
      <c r="K20" s="7" t="s">
        <v>679</v>
      </c>
      <c r="L20" s="7" t="n">
        <v>481662594</v>
      </c>
      <c r="M20" s="7" t="s">
        <v>675</v>
      </c>
    </row>
    <row r="21" customFormat="false" ht="15" hidden="false" customHeight="false" outlineLevel="0" collapsed="false">
      <c r="A21" s="7" t="s">
        <v>621</v>
      </c>
      <c r="B21" s="7" t="s">
        <v>680</v>
      </c>
      <c r="C21" s="7" t="s">
        <v>105</v>
      </c>
      <c r="D21" s="7" t="s">
        <v>661</v>
      </c>
      <c r="E21" s="7" t="s">
        <v>624</v>
      </c>
      <c r="F21" s="7" t="s">
        <v>662</v>
      </c>
      <c r="G21" s="7" t="s">
        <v>626</v>
      </c>
      <c r="H21" s="7" t="n">
        <v>36.21</v>
      </c>
      <c r="I21" s="7" t="s">
        <v>638</v>
      </c>
      <c r="J21" s="7" t="s">
        <v>639</v>
      </c>
      <c r="K21" s="7" t="s">
        <v>681</v>
      </c>
      <c r="L21" s="7" t="n">
        <v>481662691</v>
      </c>
      <c r="M21" s="7" t="s">
        <v>675</v>
      </c>
    </row>
    <row r="22" customFormat="false" ht="15" hidden="false" customHeight="false" outlineLevel="0" collapsed="false">
      <c r="A22" s="7" t="s">
        <v>621</v>
      </c>
      <c r="B22" s="7" t="s">
        <v>682</v>
      </c>
      <c r="C22" s="7" t="s">
        <v>109</v>
      </c>
      <c r="D22" s="7" t="s">
        <v>661</v>
      </c>
      <c r="E22" s="7" t="s">
        <v>624</v>
      </c>
      <c r="F22" s="7" t="s">
        <v>662</v>
      </c>
      <c r="G22" s="7" t="s">
        <v>626</v>
      </c>
      <c r="H22" s="7" t="n">
        <v>85</v>
      </c>
      <c r="I22" s="7" t="s">
        <v>683</v>
      </c>
      <c r="J22" s="7" t="s">
        <v>684</v>
      </c>
      <c r="K22" s="7" t="s">
        <v>685</v>
      </c>
      <c r="L22" s="7" t="n">
        <v>481663000</v>
      </c>
      <c r="M22" s="7" t="s">
        <v>686</v>
      </c>
    </row>
    <row r="23" customFormat="false" ht="15" hidden="false" customHeight="false" outlineLevel="0" collapsed="false">
      <c r="A23" s="7" t="s">
        <v>621</v>
      </c>
      <c r="B23" s="7" t="s">
        <v>687</v>
      </c>
      <c r="C23" s="7" t="s">
        <v>109</v>
      </c>
      <c r="D23" s="7" t="s">
        <v>661</v>
      </c>
      <c r="E23" s="7" t="s">
        <v>624</v>
      </c>
      <c r="F23" s="7" t="s">
        <v>662</v>
      </c>
      <c r="G23" s="7" t="s">
        <v>626</v>
      </c>
      <c r="H23" s="7" t="n">
        <v>81.6</v>
      </c>
      <c r="I23" s="7" t="s">
        <v>683</v>
      </c>
      <c r="J23" s="7" t="s">
        <v>684</v>
      </c>
      <c r="K23" s="7" t="s">
        <v>688</v>
      </c>
      <c r="L23" s="7" t="n">
        <v>481663097</v>
      </c>
      <c r="M23" s="7" t="s">
        <v>686</v>
      </c>
    </row>
    <row r="24" customFormat="false" ht="15" hidden="false" customHeight="false" outlineLevel="0" collapsed="false">
      <c r="A24" s="7" t="s">
        <v>621</v>
      </c>
      <c r="B24" s="7" t="s">
        <v>689</v>
      </c>
      <c r="C24" s="7" t="s">
        <v>109</v>
      </c>
      <c r="D24" s="7" t="s">
        <v>661</v>
      </c>
      <c r="E24" s="7" t="s">
        <v>624</v>
      </c>
      <c r="F24" s="7" t="s">
        <v>662</v>
      </c>
      <c r="G24" s="7" t="s">
        <v>626</v>
      </c>
      <c r="H24" s="7" t="n">
        <v>89.25</v>
      </c>
      <c r="I24" s="7" t="s">
        <v>683</v>
      </c>
      <c r="J24" s="7" t="s">
        <v>684</v>
      </c>
      <c r="K24" s="7" t="s">
        <v>690</v>
      </c>
      <c r="L24" s="7" t="n">
        <v>481663194</v>
      </c>
      <c r="M24" s="7" t="s">
        <v>686</v>
      </c>
    </row>
    <row r="25" customFormat="false" ht="15" hidden="false" customHeight="false" outlineLevel="0" collapsed="false">
      <c r="A25" s="7" t="s">
        <v>621</v>
      </c>
      <c r="B25" s="7" t="s">
        <v>691</v>
      </c>
      <c r="C25" s="7" t="s">
        <v>109</v>
      </c>
      <c r="D25" s="7" t="s">
        <v>661</v>
      </c>
      <c r="E25" s="7" t="s">
        <v>624</v>
      </c>
      <c r="F25" s="7" t="s">
        <v>662</v>
      </c>
      <c r="G25" s="7" t="s">
        <v>626</v>
      </c>
      <c r="H25" s="7" t="n">
        <v>86.7</v>
      </c>
      <c r="I25" s="7" t="s">
        <v>683</v>
      </c>
      <c r="J25" s="7" t="s">
        <v>684</v>
      </c>
      <c r="K25" s="7" t="s">
        <v>692</v>
      </c>
      <c r="L25" s="7" t="n">
        <v>481663291</v>
      </c>
      <c r="M25" s="7" t="s">
        <v>686</v>
      </c>
    </row>
    <row r="26" customFormat="false" ht="15" hidden="false" customHeight="false" outlineLevel="0" collapsed="false">
      <c r="A26" s="7" t="s">
        <v>621</v>
      </c>
      <c r="B26" s="7" t="s">
        <v>693</v>
      </c>
      <c r="C26" s="7" t="s">
        <v>215</v>
      </c>
      <c r="D26" s="7" t="s">
        <v>661</v>
      </c>
      <c r="E26" s="7" t="s">
        <v>624</v>
      </c>
      <c r="F26" s="7" t="s">
        <v>649</v>
      </c>
      <c r="G26" s="7" t="s">
        <v>626</v>
      </c>
      <c r="H26" s="7" t="n">
        <v>42.3</v>
      </c>
      <c r="I26" s="7" t="s">
        <v>694</v>
      </c>
      <c r="J26" s="7" t="s">
        <v>695</v>
      </c>
      <c r="K26" s="7" t="s">
        <v>696</v>
      </c>
      <c r="L26" s="7" t="n">
        <v>481663600</v>
      </c>
      <c r="M26" s="7" t="s">
        <v>697</v>
      </c>
    </row>
    <row r="27" customFormat="false" ht="15" hidden="false" customHeight="false" outlineLevel="0" collapsed="false">
      <c r="A27" s="7" t="s">
        <v>621</v>
      </c>
      <c r="B27" s="7" t="s">
        <v>698</v>
      </c>
      <c r="C27" s="7" t="s">
        <v>215</v>
      </c>
      <c r="D27" s="7" t="s">
        <v>661</v>
      </c>
      <c r="E27" s="7" t="s">
        <v>624</v>
      </c>
      <c r="F27" s="7" t="s">
        <v>649</v>
      </c>
      <c r="G27" s="7" t="s">
        <v>626</v>
      </c>
      <c r="H27" s="7" t="n">
        <v>40.608</v>
      </c>
      <c r="I27" s="7" t="s">
        <v>694</v>
      </c>
      <c r="J27" s="7" t="s">
        <v>695</v>
      </c>
      <c r="K27" s="7" t="s">
        <v>699</v>
      </c>
      <c r="L27" s="7" t="n">
        <v>481663697</v>
      </c>
      <c r="M27" s="7" t="s">
        <v>697</v>
      </c>
    </row>
    <row r="28" customFormat="false" ht="15" hidden="false" customHeight="false" outlineLevel="0" collapsed="false">
      <c r="A28" s="7" t="s">
        <v>621</v>
      </c>
      <c r="B28" s="7" t="s">
        <v>700</v>
      </c>
      <c r="C28" s="7" t="s">
        <v>215</v>
      </c>
      <c r="D28" s="7" t="s">
        <v>661</v>
      </c>
      <c r="E28" s="7" t="s">
        <v>624</v>
      </c>
      <c r="F28" s="7" t="s">
        <v>649</v>
      </c>
      <c r="G28" s="7" t="s">
        <v>626</v>
      </c>
      <c r="H28" s="7" t="n">
        <v>44.415</v>
      </c>
      <c r="I28" s="7" t="s">
        <v>694</v>
      </c>
      <c r="J28" s="7" t="s">
        <v>695</v>
      </c>
      <c r="K28" s="7" t="s">
        <v>701</v>
      </c>
      <c r="L28" s="7" t="n">
        <v>481663794</v>
      </c>
      <c r="M28" s="7" t="s">
        <v>697</v>
      </c>
    </row>
    <row r="29" customFormat="false" ht="15" hidden="false" customHeight="false" outlineLevel="0" collapsed="false">
      <c r="A29" s="7" t="s">
        <v>621</v>
      </c>
      <c r="B29" s="7" t="s">
        <v>702</v>
      </c>
      <c r="C29" s="7" t="s">
        <v>215</v>
      </c>
      <c r="D29" s="7" t="s">
        <v>661</v>
      </c>
      <c r="E29" s="7" t="s">
        <v>624</v>
      </c>
      <c r="F29" s="7" t="s">
        <v>649</v>
      </c>
      <c r="G29" s="7" t="s">
        <v>626</v>
      </c>
      <c r="H29" s="7" t="n">
        <v>43.146</v>
      </c>
      <c r="I29" s="7" t="s">
        <v>694</v>
      </c>
      <c r="J29" s="7" t="s">
        <v>695</v>
      </c>
      <c r="K29" s="7" t="s">
        <v>703</v>
      </c>
      <c r="L29" s="7" t="n">
        <v>481663891</v>
      </c>
      <c r="M29" s="7" t="s">
        <v>697</v>
      </c>
    </row>
    <row r="30" customFormat="false" ht="15" hidden="false" customHeight="false" outlineLevel="0" collapsed="false">
      <c r="A30" s="7" t="s">
        <v>621</v>
      </c>
      <c r="B30" s="7" t="s">
        <v>704</v>
      </c>
      <c r="C30" s="7" t="s">
        <v>89</v>
      </c>
      <c r="D30" s="7" t="s">
        <v>626</v>
      </c>
      <c r="E30" s="7" t="s">
        <v>624</v>
      </c>
      <c r="F30" s="7" t="s">
        <v>705</v>
      </c>
      <c r="G30" s="7" t="s">
        <v>626</v>
      </c>
      <c r="H30" s="7" t="n">
        <v>22.1</v>
      </c>
      <c r="I30" s="7" t="s">
        <v>694</v>
      </c>
      <c r="J30" s="7" t="s">
        <v>695</v>
      </c>
      <c r="K30" s="7" t="s">
        <v>706</v>
      </c>
      <c r="L30" s="7" t="n">
        <v>481664200</v>
      </c>
      <c r="M30" s="7" t="s">
        <v>707</v>
      </c>
    </row>
    <row r="31" customFormat="false" ht="15" hidden="false" customHeight="false" outlineLevel="0" collapsed="false">
      <c r="A31" s="7" t="s">
        <v>621</v>
      </c>
      <c r="B31" s="7" t="s">
        <v>708</v>
      </c>
      <c r="C31" s="7" t="s">
        <v>89</v>
      </c>
      <c r="D31" s="7" t="s">
        <v>626</v>
      </c>
      <c r="E31" s="7" t="s">
        <v>624</v>
      </c>
      <c r="F31" s="7" t="s">
        <v>705</v>
      </c>
      <c r="G31" s="7" t="s">
        <v>626</v>
      </c>
      <c r="H31" s="7" t="n">
        <v>21.216</v>
      </c>
      <c r="I31" s="7" t="s">
        <v>694</v>
      </c>
      <c r="J31" s="7" t="s">
        <v>695</v>
      </c>
      <c r="K31" s="7" t="s">
        <v>709</v>
      </c>
      <c r="L31" s="7" t="n">
        <v>481664297</v>
      </c>
      <c r="M31" s="7" t="s">
        <v>707</v>
      </c>
    </row>
    <row r="32" customFormat="false" ht="15" hidden="false" customHeight="false" outlineLevel="0" collapsed="false">
      <c r="A32" s="7" t="s">
        <v>621</v>
      </c>
      <c r="B32" s="7" t="s">
        <v>710</v>
      </c>
      <c r="C32" s="7" t="s">
        <v>89</v>
      </c>
      <c r="D32" s="7" t="s">
        <v>626</v>
      </c>
      <c r="E32" s="7" t="s">
        <v>624</v>
      </c>
      <c r="F32" s="7" t="s">
        <v>705</v>
      </c>
      <c r="G32" s="7" t="s">
        <v>626</v>
      </c>
      <c r="H32" s="7" t="n">
        <v>23.205</v>
      </c>
      <c r="I32" s="7" t="s">
        <v>694</v>
      </c>
      <c r="J32" s="7" t="s">
        <v>695</v>
      </c>
      <c r="K32" s="7" t="s">
        <v>711</v>
      </c>
      <c r="L32" s="7" t="n">
        <v>481664394</v>
      </c>
      <c r="M32" s="7" t="s">
        <v>707</v>
      </c>
    </row>
    <row r="33" customFormat="false" ht="15" hidden="false" customHeight="false" outlineLevel="0" collapsed="false">
      <c r="A33" s="7" t="s">
        <v>621</v>
      </c>
      <c r="B33" s="7" t="s">
        <v>712</v>
      </c>
      <c r="C33" s="7" t="s">
        <v>89</v>
      </c>
      <c r="D33" s="7" t="s">
        <v>626</v>
      </c>
      <c r="E33" s="7" t="s">
        <v>624</v>
      </c>
      <c r="F33" s="7" t="s">
        <v>705</v>
      </c>
      <c r="G33" s="7" t="s">
        <v>626</v>
      </c>
      <c r="H33" s="7" t="n">
        <v>22.542</v>
      </c>
      <c r="I33" s="7" t="s">
        <v>694</v>
      </c>
      <c r="J33" s="7" t="s">
        <v>695</v>
      </c>
      <c r="K33" s="7" t="s">
        <v>713</v>
      </c>
      <c r="L33" s="7" t="n">
        <v>481664491</v>
      </c>
      <c r="M33" s="7" t="s">
        <v>707</v>
      </c>
    </row>
    <row r="34" customFormat="false" ht="15" hidden="false" customHeight="false" outlineLevel="0" collapsed="false">
      <c r="A34" s="7" t="s">
        <v>621</v>
      </c>
      <c r="B34" s="7" t="s">
        <v>714</v>
      </c>
      <c r="C34" s="7" t="s">
        <v>87</v>
      </c>
      <c r="D34" s="7" t="s">
        <v>626</v>
      </c>
      <c r="E34" s="7" t="s">
        <v>624</v>
      </c>
      <c r="F34" s="7" t="s">
        <v>705</v>
      </c>
      <c r="G34" s="7" t="s">
        <v>626</v>
      </c>
      <c r="H34" s="7" t="n">
        <v>45</v>
      </c>
      <c r="I34" s="7" t="s">
        <v>683</v>
      </c>
      <c r="J34" s="7" t="s">
        <v>684</v>
      </c>
      <c r="K34" s="7" t="s">
        <v>715</v>
      </c>
      <c r="L34" s="7" t="n">
        <v>481664800</v>
      </c>
      <c r="M34" s="7" t="s">
        <v>707</v>
      </c>
    </row>
    <row r="35" customFormat="false" ht="15" hidden="false" customHeight="false" outlineLevel="0" collapsed="false">
      <c r="A35" s="7" t="s">
        <v>621</v>
      </c>
      <c r="B35" s="7" t="s">
        <v>716</v>
      </c>
      <c r="C35" s="7" t="s">
        <v>87</v>
      </c>
      <c r="D35" s="7" t="s">
        <v>626</v>
      </c>
      <c r="E35" s="7" t="s">
        <v>624</v>
      </c>
      <c r="F35" s="7" t="s">
        <v>705</v>
      </c>
      <c r="G35" s="7" t="s">
        <v>626</v>
      </c>
      <c r="H35" s="7" t="n">
        <v>43.2</v>
      </c>
      <c r="I35" s="7" t="s">
        <v>683</v>
      </c>
      <c r="J35" s="7" t="s">
        <v>684</v>
      </c>
      <c r="K35" s="7" t="s">
        <v>717</v>
      </c>
      <c r="L35" s="7" t="n">
        <v>481664897</v>
      </c>
      <c r="M35" s="7" t="s">
        <v>707</v>
      </c>
    </row>
    <row r="36" customFormat="false" ht="15" hidden="false" customHeight="false" outlineLevel="0" collapsed="false">
      <c r="A36" s="7" t="s">
        <v>621</v>
      </c>
      <c r="B36" s="7" t="s">
        <v>718</v>
      </c>
      <c r="C36" s="7" t="s">
        <v>87</v>
      </c>
      <c r="D36" s="7" t="s">
        <v>626</v>
      </c>
      <c r="E36" s="7" t="s">
        <v>624</v>
      </c>
      <c r="F36" s="7" t="s">
        <v>705</v>
      </c>
      <c r="G36" s="7" t="s">
        <v>626</v>
      </c>
      <c r="H36" s="7" t="n">
        <v>47.25</v>
      </c>
      <c r="I36" s="7" t="s">
        <v>683</v>
      </c>
      <c r="J36" s="7" t="s">
        <v>684</v>
      </c>
      <c r="K36" s="7" t="s">
        <v>719</v>
      </c>
      <c r="L36" s="7" t="n">
        <v>481664994</v>
      </c>
      <c r="M36" s="7" t="s">
        <v>707</v>
      </c>
    </row>
    <row r="37" customFormat="false" ht="15" hidden="false" customHeight="false" outlineLevel="0" collapsed="false">
      <c r="A37" s="7" t="s">
        <v>621</v>
      </c>
      <c r="B37" s="7" t="s">
        <v>720</v>
      </c>
      <c r="C37" s="7" t="s">
        <v>87</v>
      </c>
      <c r="D37" s="7" t="s">
        <v>626</v>
      </c>
      <c r="E37" s="7" t="s">
        <v>624</v>
      </c>
      <c r="F37" s="7" t="s">
        <v>705</v>
      </c>
      <c r="G37" s="7" t="s">
        <v>626</v>
      </c>
      <c r="H37" s="7" t="n">
        <v>45.9</v>
      </c>
      <c r="I37" s="7" t="s">
        <v>683</v>
      </c>
      <c r="J37" s="7" t="s">
        <v>684</v>
      </c>
      <c r="K37" s="7" t="s">
        <v>721</v>
      </c>
      <c r="L37" s="7" t="n">
        <v>481665091</v>
      </c>
      <c r="M37" s="7" t="s">
        <v>707</v>
      </c>
    </row>
    <row r="38" customFormat="false" ht="23.85" hidden="false" customHeight="false" outlineLevel="0" collapsed="false">
      <c r="A38" s="7" t="s">
        <v>621</v>
      </c>
      <c r="B38" s="7" t="s">
        <v>722</v>
      </c>
      <c r="C38" s="7" t="s">
        <v>311</v>
      </c>
      <c r="D38" s="7" t="s">
        <v>723</v>
      </c>
      <c r="E38" s="7" t="s">
        <v>624</v>
      </c>
      <c r="F38" s="7" t="s">
        <v>724</v>
      </c>
      <c r="G38" s="7" t="s">
        <v>626</v>
      </c>
      <c r="H38" s="7" t="n">
        <v>10.3</v>
      </c>
      <c r="I38" s="7" t="s">
        <v>725</v>
      </c>
      <c r="J38" s="7" t="s">
        <v>664</v>
      </c>
      <c r="K38" s="7" t="s">
        <v>726</v>
      </c>
      <c r="L38" s="7" t="n">
        <v>481665400</v>
      </c>
      <c r="M38" s="7" t="s">
        <v>727</v>
      </c>
    </row>
    <row r="39" customFormat="false" ht="23.85" hidden="false" customHeight="false" outlineLevel="0" collapsed="false">
      <c r="A39" s="7" t="s">
        <v>621</v>
      </c>
      <c r="B39" s="7" t="s">
        <v>728</v>
      </c>
      <c r="C39" s="7" t="s">
        <v>311</v>
      </c>
      <c r="D39" s="7" t="s">
        <v>723</v>
      </c>
      <c r="E39" s="7" t="s">
        <v>624</v>
      </c>
      <c r="F39" s="7" t="s">
        <v>724</v>
      </c>
      <c r="G39" s="7" t="s">
        <v>626</v>
      </c>
      <c r="H39" s="7" t="n">
        <v>9.888</v>
      </c>
      <c r="I39" s="7" t="s">
        <v>725</v>
      </c>
      <c r="J39" s="7" t="s">
        <v>664</v>
      </c>
      <c r="K39" s="7" t="s">
        <v>729</v>
      </c>
      <c r="L39" s="7" t="n">
        <v>481665497</v>
      </c>
      <c r="M39" s="7" t="s">
        <v>727</v>
      </c>
    </row>
    <row r="40" customFormat="false" ht="23.85" hidden="false" customHeight="false" outlineLevel="0" collapsed="false">
      <c r="A40" s="7" t="s">
        <v>621</v>
      </c>
      <c r="B40" s="7" t="s">
        <v>730</v>
      </c>
      <c r="C40" s="7" t="s">
        <v>311</v>
      </c>
      <c r="D40" s="7" t="s">
        <v>723</v>
      </c>
      <c r="E40" s="7" t="s">
        <v>624</v>
      </c>
      <c r="F40" s="7" t="s">
        <v>724</v>
      </c>
      <c r="G40" s="7" t="s">
        <v>626</v>
      </c>
      <c r="H40" s="7" t="n">
        <v>10.815</v>
      </c>
      <c r="I40" s="7" t="s">
        <v>725</v>
      </c>
      <c r="J40" s="7" t="s">
        <v>664</v>
      </c>
      <c r="K40" s="7" t="s">
        <v>731</v>
      </c>
      <c r="L40" s="7" t="n">
        <v>481665594</v>
      </c>
      <c r="M40" s="7" t="s">
        <v>727</v>
      </c>
    </row>
    <row r="41" customFormat="false" ht="23.85" hidden="false" customHeight="false" outlineLevel="0" collapsed="false">
      <c r="A41" s="7" t="s">
        <v>621</v>
      </c>
      <c r="B41" s="7" t="s">
        <v>732</v>
      </c>
      <c r="C41" s="7" t="s">
        <v>311</v>
      </c>
      <c r="D41" s="7" t="s">
        <v>723</v>
      </c>
      <c r="E41" s="7" t="s">
        <v>624</v>
      </c>
      <c r="F41" s="7" t="s">
        <v>724</v>
      </c>
      <c r="G41" s="7" t="s">
        <v>626</v>
      </c>
      <c r="H41" s="7" t="n">
        <v>10.506</v>
      </c>
      <c r="I41" s="7" t="s">
        <v>725</v>
      </c>
      <c r="J41" s="7" t="s">
        <v>664</v>
      </c>
      <c r="K41" s="7" t="s">
        <v>733</v>
      </c>
      <c r="L41" s="7" t="n">
        <v>481665691</v>
      </c>
      <c r="M41" s="7" t="s">
        <v>727</v>
      </c>
    </row>
    <row r="42" customFormat="false" ht="23.85" hidden="false" customHeight="false" outlineLevel="0" collapsed="false">
      <c r="A42" s="7" t="s">
        <v>621</v>
      </c>
      <c r="B42" s="7" t="s">
        <v>734</v>
      </c>
      <c r="C42" s="7" t="s">
        <v>315</v>
      </c>
      <c r="D42" s="7" t="s">
        <v>723</v>
      </c>
      <c r="E42" s="7" t="s">
        <v>624</v>
      </c>
      <c r="F42" s="7" t="s">
        <v>724</v>
      </c>
      <c r="G42" s="7" t="s">
        <v>626</v>
      </c>
      <c r="H42" s="7" t="n">
        <v>4.8</v>
      </c>
      <c r="I42" s="7" t="s">
        <v>735</v>
      </c>
      <c r="J42" s="7" t="s">
        <v>664</v>
      </c>
      <c r="K42" s="7" t="s">
        <v>736</v>
      </c>
      <c r="L42" s="7" t="n">
        <v>481666000</v>
      </c>
      <c r="M42" s="7" t="s">
        <v>737</v>
      </c>
    </row>
    <row r="43" customFormat="false" ht="23.85" hidden="false" customHeight="false" outlineLevel="0" collapsed="false">
      <c r="A43" s="7" t="s">
        <v>621</v>
      </c>
      <c r="B43" s="7" t="s">
        <v>738</v>
      </c>
      <c r="C43" s="7" t="s">
        <v>315</v>
      </c>
      <c r="D43" s="7" t="s">
        <v>723</v>
      </c>
      <c r="E43" s="7" t="s">
        <v>624</v>
      </c>
      <c r="F43" s="7" t="s">
        <v>724</v>
      </c>
      <c r="G43" s="7" t="s">
        <v>626</v>
      </c>
      <c r="H43" s="7" t="n">
        <v>4.608</v>
      </c>
      <c r="I43" s="7" t="s">
        <v>735</v>
      </c>
      <c r="J43" s="7" t="s">
        <v>664</v>
      </c>
      <c r="K43" s="7" t="s">
        <v>739</v>
      </c>
      <c r="L43" s="7" t="n">
        <v>481666097</v>
      </c>
      <c r="M43" s="7" t="s">
        <v>737</v>
      </c>
    </row>
    <row r="44" customFormat="false" ht="23.85" hidden="false" customHeight="false" outlineLevel="0" collapsed="false">
      <c r="A44" s="7" t="s">
        <v>621</v>
      </c>
      <c r="B44" s="7" t="s">
        <v>740</v>
      </c>
      <c r="C44" s="7" t="s">
        <v>315</v>
      </c>
      <c r="D44" s="7" t="s">
        <v>723</v>
      </c>
      <c r="E44" s="7" t="s">
        <v>624</v>
      </c>
      <c r="F44" s="7" t="s">
        <v>724</v>
      </c>
      <c r="G44" s="7" t="s">
        <v>626</v>
      </c>
      <c r="H44" s="7" t="n">
        <v>5.04</v>
      </c>
      <c r="I44" s="7" t="s">
        <v>735</v>
      </c>
      <c r="J44" s="7" t="s">
        <v>664</v>
      </c>
      <c r="K44" s="7" t="s">
        <v>741</v>
      </c>
      <c r="L44" s="7" t="n">
        <v>481666194</v>
      </c>
      <c r="M44" s="7" t="s">
        <v>737</v>
      </c>
    </row>
    <row r="45" customFormat="false" ht="23.85" hidden="false" customHeight="false" outlineLevel="0" collapsed="false">
      <c r="A45" s="7" t="s">
        <v>621</v>
      </c>
      <c r="B45" s="7" t="s">
        <v>742</v>
      </c>
      <c r="C45" s="7" t="s">
        <v>315</v>
      </c>
      <c r="D45" s="7" t="s">
        <v>723</v>
      </c>
      <c r="E45" s="7" t="s">
        <v>624</v>
      </c>
      <c r="F45" s="7" t="s">
        <v>724</v>
      </c>
      <c r="G45" s="7" t="s">
        <v>626</v>
      </c>
      <c r="H45" s="7" t="n">
        <v>4.896</v>
      </c>
      <c r="I45" s="7" t="s">
        <v>735</v>
      </c>
      <c r="J45" s="7" t="s">
        <v>664</v>
      </c>
      <c r="K45" s="7" t="s">
        <v>743</v>
      </c>
      <c r="L45" s="7" t="n">
        <v>481666291</v>
      </c>
      <c r="M45" s="7" t="s">
        <v>737</v>
      </c>
    </row>
    <row r="46" customFormat="false" ht="15" hidden="false" customHeight="false" outlineLevel="0" collapsed="false">
      <c r="A46" s="7" t="s">
        <v>621</v>
      </c>
      <c r="B46" s="7" t="s">
        <v>744</v>
      </c>
      <c r="C46" s="7" t="s">
        <v>35</v>
      </c>
      <c r="D46" s="7" t="s">
        <v>723</v>
      </c>
      <c r="E46" s="7" t="s">
        <v>624</v>
      </c>
      <c r="F46" s="7" t="s">
        <v>724</v>
      </c>
      <c r="G46" s="7" t="s">
        <v>626</v>
      </c>
      <c r="H46" s="7" t="n">
        <v>35</v>
      </c>
      <c r="I46" s="7" t="s">
        <v>745</v>
      </c>
      <c r="J46" s="7" t="s">
        <v>746</v>
      </c>
      <c r="K46" s="7" t="s">
        <v>747</v>
      </c>
      <c r="L46" s="7" t="n">
        <v>481666600</v>
      </c>
      <c r="M46" s="7" t="s">
        <v>748</v>
      </c>
    </row>
    <row r="47" customFormat="false" ht="15" hidden="false" customHeight="false" outlineLevel="0" collapsed="false">
      <c r="A47" s="7" t="s">
        <v>621</v>
      </c>
      <c r="B47" s="7" t="s">
        <v>749</v>
      </c>
      <c r="C47" s="7" t="s">
        <v>35</v>
      </c>
      <c r="D47" s="7" t="s">
        <v>723</v>
      </c>
      <c r="E47" s="7" t="s">
        <v>624</v>
      </c>
      <c r="F47" s="7" t="s">
        <v>724</v>
      </c>
      <c r="G47" s="7" t="s">
        <v>626</v>
      </c>
      <c r="H47" s="7" t="n">
        <v>33.6</v>
      </c>
      <c r="I47" s="7" t="s">
        <v>745</v>
      </c>
      <c r="J47" s="7" t="s">
        <v>746</v>
      </c>
      <c r="K47" s="7" t="s">
        <v>750</v>
      </c>
      <c r="L47" s="7" t="n">
        <v>481666697</v>
      </c>
      <c r="M47" s="7" t="s">
        <v>748</v>
      </c>
    </row>
    <row r="48" customFormat="false" ht="15" hidden="false" customHeight="false" outlineLevel="0" collapsed="false">
      <c r="A48" s="7" t="s">
        <v>621</v>
      </c>
      <c r="B48" s="7" t="s">
        <v>751</v>
      </c>
      <c r="C48" s="7" t="s">
        <v>35</v>
      </c>
      <c r="D48" s="7" t="s">
        <v>723</v>
      </c>
      <c r="E48" s="7" t="s">
        <v>624</v>
      </c>
      <c r="F48" s="7" t="s">
        <v>724</v>
      </c>
      <c r="G48" s="7" t="s">
        <v>626</v>
      </c>
      <c r="H48" s="7" t="n">
        <v>36.75</v>
      </c>
      <c r="I48" s="7" t="s">
        <v>745</v>
      </c>
      <c r="J48" s="7" t="s">
        <v>746</v>
      </c>
      <c r="K48" s="7" t="s">
        <v>752</v>
      </c>
      <c r="L48" s="7" t="n">
        <v>481666794</v>
      </c>
      <c r="M48" s="7" t="s">
        <v>748</v>
      </c>
    </row>
    <row r="49" customFormat="false" ht="15" hidden="false" customHeight="false" outlineLevel="0" collapsed="false">
      <c r="A49" s="7" t="s">
        <v>621</v>
      </c>
      <c r="B49" s="7" t="s">
        <v>753</v>
      </c>
      <c r="C49" s="7" t="s">
        <v>35</v>
      </c>
      <c r="D49" s="7" t="s">
        <v>723</v>
      </c>
      <c r="E49" s="7" t="s">
        <v>624</v>
      </c>
      <c r="F49" s="7" t="s">
        <v>724</v>
      </c>
      <c r="G49" s="7" t="s">
        <v>626</v>
      </c>
      <c r="H49" s="7" t="n">
        <v>35.7</v>
      </c>
      <c r="I49" s="7" t="s">
        <v>745</v>
      </c>
      <c r="J49" s="7" t="s">
        <v>746</v>
      </c>
      <c r="K49" s="7" t="s">
        <v>754</v>
      </c>
      <c r="L49" s="7" t="n">
        <v>481666891</v>
      </c>
      <c r="M49" s="7" t="s">
        <v>748</v>
      </c>
    </row>
    <row r="50" customFormat="false" ht="15" hidden="false" customHeight="false" outlineLevel="0" collapsed="false">
      <c r="A50" s="7" t="s">
        <v>621</v>
      </c>
      <c r="B50" s="7" t="s">
        <v>755</v>
      </c>
      <c r="C50" s="7" t="s">
        <v>317</v>
      </c>
      <c r="D50" s="7" t="s">
        <v>723</v>
      </c>
      <c r="E50" s="7" t="s">
        <v>624</v>
      </c>
      <c r="F50" s="7" t="s">
        <v>724</v>
      </c>
      <c r="G50" s="7" t="s">
        <v>626</v>
      </c>
      <c r="H50" s="7" t="n">
        <v>12.5</v>
      </c>
      <c r="I50" s="7" t="s">
        <v>683</v>
      </c>
      <c r="J50" s="7" t="s">
        <v>684</v>
      </c>
      <c r="K50" s="7" t="s">
        <v>756</v>
      </c>
      <c r="L50" s="7" t="n">
        <v>481667200</v>
      </c>
      <c r="M50" s="7" t="s">
        <v>757</v>
      </c>
    </row>
    <row r="51" customFormat="false" ht="15" hidden="false" customHeight="false" outlineLevel="0" collapsed="false">
      <c r="A51" s="7" t="s">
        <v>621</v>
      </c>
      <c r="B51" s="7" t="s">
        <v>758</v>
      </c>
      <c r="C51" s="7" t="s">
        <v>317</v>
      </c>
      <c r="D51" s="7" t="s">
        <v>723</v>
      </c>
      <c r="E51" s="7" t="s">
        <v>624</v>
      </c>
      <c r="F51" s="7" t="s">
        <v>724</v>
      </c>
      <c r="G51" s="7" t="s">
        <v>626</v>
      </c>
      <c r="H51" s="7" t="n">
        <v>12</v>
      </c>
      <c r="I51" s="7" t="s">
        <v>683</v>
      </c>
      <c r="J51" s="7" t="s">
        <v>684</v>
      </c>
      <c r="K51" s="7" t="s">
        <v>759</v>
      </c>
      <c r="L51" s="7" t="n">
        <v>481667297</v>
      </c>
      <c r="M51" s="7" t="s">
        <v>757</v>
      </c>
    </row>
    <row r="52" customFormat="false" ht="15" hidden="false" customHeight="false" outlineLevel="0" collapsed="false">
      <c r="A52" s="7" t="s">
        <v>621</v>
      </c>
      <c r="B52" s="7" t="s">
        <v>760</v>
      </c>
      <c r="C52" s="7" t="s">
        <v>317</v>
      </c>
      <c r="D52" s="7" t="s">
        <v>723</v>
      </c>
      <c r="E52" s="7" t="s">
        <v>624</v>
      </c>
      <c r="F52" s="7" t="s">
        <v>724</v>
      </c>
      <c r="G52" s="7" t="s">
        <v>626</v>
      </c>
      <c r="H52" s="7" t="n">
        <v>13.125</v>
      </c>
      <c r="I52" s="7" t="s">
        <v>683</v>
      </c>
      <c r="J52" s="7" t="s">
        <v>684</v>
      </c>
      <c r="K52" s="7" t="s">
        <v>761</v>
      </c>
      <c r="L52" s="7" t="n">
        <v>481667394</v>
      </c>
      <c r="M52" s="7" t="s">
        <v>757</v>
      </c>
    </row>
    <row r="53" customFormat="false" ht="15" hidden="false" customHeight="false" outlineLevel="0" collapsed="false">
      <c r="A53" s="7" t="s">
        <v>621</v>
      </c>
      <c r="B53" s="7" t="s">
        <v>762</v>
      </c>
      <c r="C53" s="7" t="s">
        <v>317</v>
      </c>
      <c r="D53" s="7" t="s">
        <v>723</v>
      </c>
      <c r="E53" s="7" t="s">
        <v>624</v>
      </c>
      <c r="F53" s="7" t="s">
        <v>724</v>
      </c>
      <c r="G53" s="7" t="s">
        <v>626</v>
      </c>
      <c r="H53" s="7" t="n">
        <v>12.75</v>
      </c>
      <c r="I53" s="7" t="s">
        <v>683</v>
      </c>
      <c r="J53" s="7" t="s">
        <v>684</v>
      </c>
      <c r="K53" s="7" t="s">
        <v>763</v>
      </c>
      <c r="L53" s="7" t="n">
        <v>481667491</v>
      </c>
      <c r="M53" s="7" t="s">
        <v>757</v>
      </c>
    </row>
    <row r="54" customFormat="false" ht="23.85" hidden="false" customHeight="false" outlineLevel="0" collapsed="false">
      <c r="A54" s="7" t="s">
        <v>621</v>
      </c>
      <c r="B54" s="7" t="s">
        <v>764</v>
      </c>
      <c r="C54" s="7" t="s">
        <v>217</v>
      </c>
      <c r="D54" s="7" t="s">
        <v>723</v>
      </c>
      <c r="E54" s="7" t="s">
        <v>624</v>
      </c>
      <c r="F54" s="7" t="s">
        <v>724</v>
      </c>
      <c r="G54" s="7" t="s">
        <v>626</v>
      </c>
      <c r="H54" s="7" t="n">
        <v>1500000000000</v>
      </c>
      <c r="I54" s="7" t="s">
        <v>765</v>
      </c>
      <c r="J54" s="7" t="s">
        <v>664</v>
      </c>
      <c r="K54" s="7" t="s">
        <v>766</v>
      </c>
      <c r="L54" s="7" t="n">
        <v>481667800</v>
      </c>
      <c r="M54" s="7" t="s">
        <v>767</v>
      </c>
    </row>
    <row r="55" customFormat="false" ht="23.85" hidden="false" customHeight="false" outlineLevel="0" collapsed="false">
      <c r="A55" s="7" t="s">
        <v>621</v>
      </c>
      <c r="B55" s="7" t="s">
        <v>768</v>
      </c>
      <c r="C55" s="7" t="s">
        <v>217</v>
      </c>
      <c r="D55" s="7" t="s">
        <v>723</v>
      </c>
      <c r="E55" s="7" t="s">
        <v>624</v>
      </c>
      <c r="F55" s="7" t="s">
        <v>724</v>
      </c>
      <c r="G55" s="7" t="s">
        <v>626</v>
      </c>
      <c r="H55" s="7" t="n">
        <v>1440000000000</v>
      </c>
      <c r="I55" s="7" t="s">
        <v>765</v>
      </c>
      <c r="J55" s="7" t="s">
        <v>664</v>
      </c>
      <c r="K55" s="7" t="s">
        <v>769</v>
      </c>
      <c r="L55" s="7" t="n">
        <v>481667897</v>
      </c>
      <c r="M55" s="7" t="s">
        <v>767</v>
      </c>
    </row>
    <row r="56" customFormat="false" ht="23.85" hidden="false" customHeight="false" outlineLevel="0" collapsed="false">
      <c r="A56" s="7" t="s">
        <v>621</v>
      </c>
      <c r="B56" s="7" t="s">
        <v>770</v>
      </c>
      <c r="C56" s="7" t="s">
        <v>217</v>
      </c>
      <c r="D56" s="7" t="s">
        <v>723</v>
      </c>
      <c r="E56" s="7" t="s">
        <v>624</v>
      </c>
      <c r="F56" s="7" t="s">
        <v>724</v>
      </c>
      <c r="G56" s="7" t="s">
        <v>626</v>
      </c>
      <c r="H56" s="7" t="n">
        <v>1575000000000</v>
      </c>
      <c r="I56" s="7" t="s">
        <v>765</v>
      </c>
      <c r="J56" s="7" t="s">
        <v>664</v>
      </c>
      <c r="K56" s="7" t="s">
        <v>771</v>
      </c>
      <c r="L56" s="7" t="n">
        <v>481667994</v>
      </c>
      <c r="M56" s="7" t="s">
        <v>767</v>
      </c>
    </row>
    <row r="57" customFormat="false" ht="23.85" hidden="false" customHeight="false" outlineLevel="0" collapsed="false">
      <c r="A57" s="7" t="s">
        <v>621</v>
      </c>
      <c r="B57" s="7" t="s">
        <v>772</v>
      </c>
      <c r="C57" s="7" t="s">
        <v>217</v>
      </c>
      <c r="D57" s="7" t="s">
        <v>723</v>
      </c>
      <c r="E57" s="7" t="s">
        <v>624</v>
      </c>
      <c r="F57" s="7" t="s">
        <v>724</v>
      </c>
      <c r="G57" s="7" t="s">
        <v>626</v>
      </c>
      <c r="H57" s="7" t="n">
        <v>1530000000000</v>
      </c>
      <c r="I57" s="7" t="s">
        <v>765</v>
      </c>
      <c r="J57" s="7" t="s">
        <v>664</v>
      </c>
      <c r="K57" s="7" t="s">
        <v>773</v>
      </c>
      <c r="L57" s="7" t="n">
        <v>481668091</v>
      </c>
      <c r="M57" s="7" t="s">
        <v>767</v>
      </c>
    </row>
    <row r="58" customFormat="false" ht="23.85" hidden="false" customHeight="false" outlineLevel="0" collapsed="false">
      <c r="A58" s="7" t="s">
        <v>621</v>
      </c>
      <c r="B58" s="7" t="s">
        <v>774</v>
      </c>
      <c r="C58" s="7" t="s">
        <v>171</v>
      </c>
      <c r="D58" s="7" t="s">
        <v>723</v>
      </c>
      <c r="E58" s="7" t="s">
        <v>624</v>
      </c>
      <c r="F58" s="7" t="s">
        <v>724</v>
      </c>
      <c r="G58" s="7" t="s">
        <v>626</v>
      </c>
      <c r="H58" s="7" t="n">
        <v>0.02</v>
      </c>
      <c r="I58" s="7" t="s">
        <v>775</v>
      </c>
      <c r="J58" s="7" t="s">
        <v>664</v>
      </c>
      <c r="K58" s="7" t="s">
        <v>776</v>
      </c>
      <c r="L58" s="7" t="n">
        <v>481668400</v>
      </c>
      <c r="M58" s="7" t="s">
        <v>777</v>
      </c>
    </row>
    <row r="59" customFormat="false" ht="23.85" hidden="false" customHeight="false" outlineLevel="0" collapsed="false">
      <c r="A59" s="7" t="s">
        <v>621</v>
      </c>
      <c r="B59" s="7" t="s">
        <v>778</v>
      </c>
      <c r="C59" s="7" t="s">
        <v>171</v>
      </c>
      <c r="D59" s="7" t="s">
        <v>723</v>
      </c>
      <c r="E59" s="7" t="s">
        <v>624</v>
      </c>
      <c r="F59" s="7" t="s">
        <v>724</v>
      </c>
      <c r="G59" s="7" t="s">
        <v>626</v>
      </c>
      <c r="H59" s="7" t="n">
        <v>0.0192</v>
      </c>
      <c r="I59" s="7" t="s">
        <v>775</v>
      </c>
      <c r="J59" s="7" t="s">
        <v>664</v>
      </c>
      <c r="K59" s="7" t="s">
        <v>779</v>
      </c>
      <c r="L59" s="7" t="n">
        <v>481668497</v>
      </c>
      <c r="M59" s="7" t="s">
        <v>777</v>
      </c>
    </row>
    <row r="60" customFormat="false" ht="23.85" hidden="false" customHeight="false" outlineLevel="0" collapsed="false">
      <c r="A60" s="7" t="s">
        <v>621</v>
      </c>
      <c r="B60" s="7" t="s">
        <v>780</v>
      </c>
      <c r="C60" s="7" t="s">
        <v>171</v>
      </c>
      <c r="D60" s="7" t="s">
        <v>723</v>
      </c>
      <c r="E60" s="7" t="s">
        <v>624</v>
      </c>
      <c r="F60" s="7" t="s">
        <v>724</v>
      </c>
      <c r="G60" s="7" t="s">
        <v>626</v>
      </c>
      <c r="H60" s="7" t="n">
        <v>0.021</v>
      </c>
      <c r="I60" s="7" t="s">
        <v>775</v>
      </c>
      <c r="J60" s="7" t="s">
        <v>664</v>
      </c>
      <c r="K60" s="7" t="s">
        <v>781</v>
      </c>
      <c r="L60" s="7" t="n">
        <v>481668594</v>
      </c>
      <c r="M60" s="7" t="s">
        <v>777</v>
      </c>
    </row>
    <row r="61" customFormat="false" ht="23.85" hidden="false" customHeight="false" outlineLevel="0" collapsed="false">
      <c r="A61" s="7" t="s">
        <v>621</v>
      </c>
      <c r="B61" s="7" t="s">
        <v>782</v>
      </c>
      <c r="C61" s="7" t="s">
        <v>171</v>
      </c>
      <c r="D61" s="7" t="s">
        <v>723</v>
      </c>
      <c r="E61" s="7" t="s">
        <v>624</v>
      </c>
      <c r="F61" s="7" t="s">
        <v>724</v>
      </c>
      <c r="G61" s="7" t="s">
        <v>626</v>
      </c>
      <c r="H61" s="7" t="n">
        <v>0.0204</v>
      </c>
      <c r="I61" s="7" t="s">
        <v>775</v>
      </c>
      <c r="J61" s="7" t="s">
        <v>664</v>
      </c>
      <c r="K61" s="7" t="s">
        <v>783</v>
      </c>
      <c r="L61" s="7" t="n">
        <v>481668691</v>
      </c>
      <c r="M61" s="7" t="s">
        <v>777</v>
      </c>
    </row>
    <row r="62" customFormat="false" ht="23.85" hidden="false" customHeight="false" outlineLevel="0" collapsed="false">
      <c r="A62" s="7" t="s">
        <v>621</v>
      </c>
      <c r="B62" s="7" t="s">
        <v>784</v>
      </c>
      <c r="C62" s="7" t="s">
        <v>371</v>
      </c>
      <c r="D62" s="7" t="s">
        <v>723</v>
      </c>
      <c r="E62" s="7" t="s">
        <v>624</v>
      </c>
      <c r="F62" s="7" t="s">
        <v>724</v>
      </c>
      <c r="G62" s="7" t="s">
        <v>626</v>
      </c>
      <c r="H62" s="7" t="n">
        <v>-42</v>
      </c>
      <c r="I62" s="7" t="s">
        <v>785</v>
      </c>
      <c r="J62" s="7" t="s">
        <v>664</v>
      </c>
      <c r="K62" s="7" t="s">
        <v>786</v>
      </c>
      <c r="L62" s="7" t="n">
        <v>481669000</v>
      </c>
      <c r="M62" s="7" t="s">
        <v>787</v>
      </c>
    </row>
    <row r="63" customFormat="false" ht="23.85" hidden="false" customHeight="false" outlineLevel="0" collapsed="false">
      <c r="A63" s="7" t="s">
        <v>621</v>
      </c>
      <c r="B63" s="7" t="s">
        <v>788</v>
      </c>
      <c r="C63" s="7" t="s">
        <v>371</v>
      </c>
      <c r="D63" s="7" t="s">
        <v>723</v>
      </c>
      <c r="E63" s="7" t="s">
        <v>624</v>
      </c>
      <c r="F63" s="7" t="s">
        <v>724</v>
      </c>
      <c r="G63" s="7" t="s">
        <v>626</v>
      </c>
      <c r="H63" s="7" t="n">
        <v>-40.32</v>
      </c>
      <c r="I63" s="7" t="s">
        <v>785</v>
      </c>
      <c r="J63" s="7" t="s">
        <v>664</v>
      </c>
      <c r="K63" s="7" t="s">
        <v>789</v>
      </c>
      <c r="L63" s="7" t="n">
        <v>481669097</v>
      </c>
      <c r="M63" s="7" t="s">
        <v>787</v>
      </c>
    </row>
    <row r="64" customFormat="false" ht="23.85" hidden="false" customHeight="false" outlineLevel="0" collapsed="false">
      <c r="A64" s="7" t="s">
        <v>621</v>
      </c>
      <c r="B64" s="7" t="s">
        <v>790</v>
      </c>
      <c r="C64" s="7" t="s">
        <v>371</v>
      </c>
      <c r="D64" s="7" t="s">
        <v>723</v>
      </c>
      <c r="E64" s="7" t="s">
        <v>624</v>
      </c>
      <c r="F64" s="7" t="s">
        <v>724</v>
      </c>
      <c r="G64" s="7" t="s">
        <v>626</v>
      </c>
      <c r="H64" s="7" t="n">
        <v>-44.1</v>
      </c>
      <c r="I64" s="7" t="s">
        <v>785</v>
      </c>
      <c r="J64" s="7" t="s">
        <v>664</v>
      </c>
      <c r="K64" s="7" t="s">
        <v>791</v>
      </c>
      <c r="L64" s="7" t="n">
        <v>481669194</v>
      </c>
      <c r="M64" s="7" t="s">
        <v>787</v>
      </c>
    </row>
    <row r="65" customFormat="false" ht="23.85" hidden="false" customHeight="false" outlineLevel="0" collapsed="false">
      <c r="A65" s="7" t="s">
        <v>621</v>
      </c>
      <c r="B65" s="7" t="s">
        <v>792</v>
      </c>
      <c r="C65" s="7" t="s">
        <v>371</v>
      </c>
      <c r="D65" s="7" t="s">
        <v>723</v>
      </c>
      <c r="E65" s="7" t="s">
        <v>624</v>
      </c>
      <c r="F65" s="7" t="s">
        <v>724</v>
      </c>
      <c r="G65" s="7" t="s">
        <v>626</v>
      </c>
      <c r="H65" s="7" t="n">
        <v>-42.84</v>
      </c>
      <c r="I65" s="7" t="s">
        <v>785</v>
      </c>
      <c r="J65" s="7" t="s">
        <v>664</v>
      </c>
      <c r="K65" s="7" t="s">
        <v>793</v>
      </c>
      <c r="L65" s="7" t="n">
        <v>481669291</v>
      </c>
      <c r="M65" s="7" t="s">
        <v>787</v>
      </c>
    </row>
    <row r="66" customFormat="false" ht="15" hidden="false" customHeight="false" outlineLevel="0" collapsed="false">
      <c r="A66" s="7" t="s">
        <v>621</v>
      </c>
      <c r="B66" s="7" t="s">
        <v>794</v>
      </c>
      <c r="C66" s="7" t="s">
        <v>159</v>
      </c>
      <c r="D66" s="7" t="s">
        <v>795</v>
      </c>
      <c r="E66" s="7" t="s">
        <v>796</v>
      </c>
      <c r="F66" s="7" t="s">
        <v>797</v>
      </c>
      <c r="G66" s="7" t="s">
        <v>798</v>
      </c>
      <c r="H66" s="7" t="n">
        <v>820</v>
      </c>
      <c r="I66" s="7" t="s">
        <v>745</v>
      </c>
      <c r="J66" s="7" t="s">
        <v>746</v>
      </c>
      <c r="K66" s="7" t="s">
        <v>799</v>
      </c>
      <c r="L66" s="7" t="n">
        <v>481669600</v>
      </c>
      <c r="M66" s="7" t="s">
        <v>800</v>
      </c>
    </row>
    <row r="67" customFormat="false" ht="15" hidden="false" customHeight="false" outlineLevel="0" collapsed="false">
      <c r="A67" s="7" t="s">
        <v>621</v>
      </c>
      <c r="B67" s="7" t="s">
        <v>801</v>
      </c>
      <c r="C67" s="7" t="s">
        <v>159</v>
      </c>
      <c r="D67" s="7" t="s">
        <v>795</v>
      </c>
      <c r="E67" s="7" t="s">
        <v>796</v>
      </c>
      <c r="F67" s="7" t="s">
        <v>797</v>
      </c>
      <c r="G67" s="7" t="s">
        <v>798</v>
      </c>
      <c r="H67" s="7" t="n">
        <v>787.2</v>
      </c>
      <c r="I67" s="7" t="s">
        <v>745</v>
      </c>
      <c r="J67" s="7" t="s">
        <v>746</v>
      </c>
      <c r="K67" s="7" t="s">
        <v>802</v>
      </c>
      <c r="L67" s="7" t="n">
        <v>481669697</v>
      </c>
      <c r="M67" s="7" t="s">
        <v>800</v>
      </c>
    </row>
    <row r="68" customFormat="false" ht="15" hidden="false" customHeight="false" outlineLevel="0" collapsed="false">
      <c r="A68" s="7" t="s">
        <v>621</v>
      </c>
      <c r="B68" s="7" t="s">
        <v>803</v>
      </c>
      <c r="C68" s="7" t="s">
        <v>159</v>
      </c>
      <c r="D68" s="7" t="s">
        <v>795</v>
      </c>
      <c r="E68" s="7" t="s">
        <v>796</v>
      </c>
      <c r="F68" s="7" t="s">
        <v>797</v>
      </c>
      <c r="G68" s="7" t="s">
        <v>798</v>
      </c>
      <c r="H68" s="7" t="n">
        <v>861</v>
      </c>
      <c r="I68" s="7" t="s">
        <v>745</v>
      </c>
      <c r="J68" s="7" t="s">
        <v>746</v>
      </c>
      <c r="K68" s="7" t="s">
        <v>804</v>
      </c>
      <c r="L68" s="7" t="n">
        <v>481669794</v>
      </c>
      <c r="M68" s="7" t="s">
        <v>800</v>
      </c>
    </row>
    <row r="69" customFormat="false" ht="15" hidden="false" customHeight="false" outlineLevel="0" collapsed="false">
      <c r="A69" s="7" t="s">
        <v>621</v>
      </c>
      <c r="B69" s="7" t="s">
        <v>805</v>
      </c>
      <c r="C69" s="7" t="s">
        <v>159</v>
      </c>
      <c r="D69" s="7" t="s">
        <v>795</v>
      </c>
      <c r="E69" s="7" t="s">
        <v>796</v>
      </c>
      <c r="F69" s="7" t="s">
        <v>797</v>
      </c>
      <c r="G69" s="7" t="s">
        <v>798</v>
      </c>
      <c r="H69" s="7" t="n">
        <v>836.4</v>
      </c>
      <c r="I69" s="7" t="s">
        <v>745</v>
      </c>
      <c r="J69" s="7" t="s">
        <v>746</v>
      </c>
      <c r="K69" s="7" t="s">
        <v>806</v>
      </c>
      <c r="L69" s="7" t="n">
        <v>481669891</v>
      </c>
      <c r="M69" s="7" t="s">
        <v>800</v>
      </c>
    </row>
    <row r="70" customFormat="false" ht="15" hidden="false" customHeight="false" outlineLevel="0" collapsed="false">
      <c r="A70" s="7" t="s">
        <v>621</v>
      </c>
      <c r="B70" s="7" t="s">
        <v>807</v>
      </c>
      <c r="C70" s="7" t="s">
        <v>323</v>
      </c>
      <c r="D70" s="7" t="s">
        <v>795</v>
      </c>
      <c r="E70" s="7" t="s">
        <v>796</v>
      </c>
      <c r="F70" s="7" t="s">
        <v>808</v>
      </c>
      <c r="G70" s="7" t="s">
        <v>798</v>
      </c>
      <c r="H70" s="7" t="n">
        <v>0.45</v>
      </c>
      <c r="I70" s="7" t="s">
        <v>809</v>
      </c>
      <c r="J70" s="7" t="s">
        <v>746</v>
      </c>
      <c r="K70" s="7" t="s">
        <v>810</v>
      </c>
      <c r="L70" s="7" t="n">
        <v>481670200</v>
      </c>
      <c r="M70" s="7" t="s">
        <v>811</v>
      </c>
    </row>
    <row r="71" customFormat="false" ht="15" hidden="false" customHeight="false" outlineLevel="0" collapsed="false">
      <c r="A71" s="7" t="s">
        <v>621</v>
      </c>
      <c r="B71" s="7" t="s">
        <v>812</v>
      </c>
      <c r="C71" s="7" t="s">
        <v>323</v>
      </c>
      <c r="D71" s="7" t="s">
        <v>795</v>
      </c>
      <c r="E71" s="7" t="s">
        <v>796</v>
      </c>
      <c r="F71" s="7" t="s">
        <v>808</v>
      </c>
      <c r="G71" s="7" t="s">
        <v>798</v>
      </c>
      <c r="H71" s="7" t="n">
        <v>0.432</v>
      </c>
      <c r="I71" s="7" t="s">
        <v>809</v>
      </c>
      <c r="J71" s="7" t="s">
        <v>746</v>
      </c>
      <c r="K71" s="7" t="s">
        <v>813</v>
      </c>
      <c r="L71" s="7" t="n">
        <v>481670297</v>
      </c>
      <c r="M71" s="7" t="s">
        <v>811</v>
      </c>
    </row>
    <row r="72" customFormat="false" ht="15" hidden="false" customHeight="false" outlineLevel="0" collapsed="false">
      <c r="A72" s="7" t="s">
        <v>621</v>
      </c>
      <c r="B72" s="7" t="s">
        <v>814</v>
      </c>
      <c r="C72" s="7" t="s">
        <v>323</v>
      </c>
      <c r="D72" s="7" t="s">
        <v>795</v>
      </c>
      <c r="E72" s="7" t="s">
        <v>796</v>
      </c>
      <c r="F72" s="7" t="s">
        <v>808</v>
      </c>
      <c r="G72" s="7" t="s">
        <v>798</v>
      </c>
      <c r="H72" s="7" t="n">
        <v>0.4725</v>
      </c>
      <c r="I72" s="7" t="s">
        <v>809</v>
      </c>
      <c r="J72" s="7" t="s">
        <v>746</v>
      </c>
      <c r="K72" s="7" t="s">
        <v>815</v>
      </c>
      <c r="L72" s="7" t="n">
        <v>481670394</v>
      </c>
      <c r="M72" s="7" t="s">
        <v>811</v>
      </c>
    </row>
    <row r="73" customFormat="false" ht="15" hidden="false" customHeight="false" outlineLevel="0" collapsed="false">
      <c r="A73" s="7" t="s">
        <v>621</v>
      </c>
      <c r="B73" s="7" t="s">
        <v>816</v>
      </c>
      <c r="C73" s="7" t="s">
        <v>323</v>
      </c>
      <c r="D73" s="7" t="s">
        <v>795</v>
      </c>
      <c r="E73" s="7" t="s">
        <v>796</v>
      </c>
      <c r="F73" s="7" t="s">
        <v>808</v>
      </c>
      <c r="G73" s="7" t="s">
        <v>798</v>
      </c>
      <c r="H73" s="7" t="n">
        <v>0.459</v>
      </c>
      <c r="I73" s="7" t="s">
        <v>809</v>
      </c>
      <c r="J73" s="7" t="s">
        <v>746</v>
      </c>
      <c r="K73" s="7" t="s">
        <v>817</v>
      </c>
      <c r="L73" s="7" t="n">
        <v>481670491</v>
      </c>
      <c r="M73" s="7" t="s">
        <v>811</v>
      </c>
    </row>
    <row r="74" customFormat="false" ht="15" hidden="false" customHeight="false" outlineLevel="0" collapsed="false">
      <c r="A74" s="7" t="s">
        <v>621</v>
      </c>
      <c r="B74" s="7" t="s">
        <v>818</v>
      </c>
      <c r="C74" s="7" t="s">
        <v>367</v>
      </c>
      <c r="D74" s="7" t="s">
        <v>795</v>
      </c>
      <c r="E74" s="7" t="s">
        <v>796</v>
      </c>
      <c r="F74" s="7" t="s">
        <v>797</v>
      </c>
      <c r="G74" s="7" t="s">
        <v>798</v>
      </c>
      <c r="H74" s="7" t="n">
        <v>4.2</v>
      </c>
      <c r="I74" s="7" t="s">
        <v>683</v>
      </c>
      <c r="J74" s="7" t="s">
        <v>684</v>
      </c>
      <c r="K74" s="7" t="s">
        <v>819</v>
      </c>
      <c r="L74" s="7" t="n">
        <v>481670800</v>
      </c>
      <c r="M74" s="7" t="s">
        <v>820</v>
      </c>
    </row>
    <row r="75" customFormat="false" ht="15" hidden="false" customHeight="false" outlineLevel="0" collapsed="false">
      <c r="A75" s="7" t="s">
        <v>621</v>
      </c>
      <c r="B75" s="7" t="s">
        <v>821</v>
      </c>
      <c r="C75" s="7" t="s">
        <v>367</v>
      </c>
      <c r="D75" s="7" t="s">
        <v>795</v>
      </c>
      <c r="E75" s="7" t="s">
        <v>796</v>
      </c>
      <c r="F75" s="7" t="s">
        <v>797</v>
      </c>
      <c r="G75" s="7" t="s">
        <v>798</v>
      </c>
      <c r="H75" s="7" t="n">
        <v>4.032</v>
      </c>
      <c r="I75" s="7" t="s">
        <v>683</v>
      </c>
      <c r="J75" s="7" t="s">
        <v>684</v>
      </c>
      <c r="K75" s="7" t="s">
        <v>822</v>
      </c>
      <c r="L75" s="7" t="n">
        <v>481670897</v>
      </c>
      <c r="M75" s="7" t="s">
        <v>820</v>
      </c>
    </row>
    <row r="76" customFormat="false" ht="15" hidden="false" customHeight="false" outlineLevel="0" collapsed="false">
      <c r="A76" s="7" t="s">
        <v>621</v>
      </c>
      <c r="B76" s="7" t="s">
        <v>823</v>
      </c>
      <c r="C76" s="7" t="s">
        <v>367</v>
      </c>
      <c r="D76" s="7" t="s">
        <v>795</v>
      </c>
      <c r="E76" s="7" t="s">
        <v>796</v>
      </c>
      <c r="F76" s="7" t="s">
        <v>797</v>
      </c>
      <c r="G76" s="7" t="s">
        <v>798</v>
      </c>
      <c r="H76" s="7" t="n">
        <v>4.41</v>
      </c>
      <c r="I76" s="7" t="s">
        <v>683</v>
      </c>
      <c r="J76" s="7" t="s">
        <v>684</v>
      </c>
      <c r="K76" s="7" t="s">
        <v>824</v>
      </c>
      <c r="L76" s="7" t="n">
        <v>481670994</v>
      </c>
      <c r="M76" s="7" t="s">
        <v>820</v>
      </c>
    </row>
    <row r="77" customFormat="false" ht="15" hidden="false" customHeight="false" outlineLevel="0" collapsed="false">
      <c r="A77" s="7" t="s">
        <v>621</v>
      </c>
      <c r="B77" s="7" t="s">
        <v>825</v>
      </c>
      <c r="C77" s="7" t="s">
        <v>367</v>
      </c>
      <c r="D77" s="7" t="s">
        <v>795</v>
      </c>
      <c r="E77" s="7" t="s">
        <v>796</v>
      </c>
      <c r="F77" s="7" t="s">
        <v>797</v>
      </c>
      <c r="G77" s="7" t="s">
        <v>798</v>
      </c>
      <c r="H77" s="7" t="n">
        <v>4.284</v>
      </c>
      <c r="I77" s="7" t="s">
        <v>683</v>
      </c>
      <c r="J77" s="7" t="s">
        <v>684</v>
      </c>
      <c r="K77" s="7" t="s">
        <v>826</v>
      </c>
      <c r="L77" s="7" t="n">
        <v>481671091</v>
      </c>
      <c r="M77" s="7" t="s">
        <v>820</v>
      </c>
    </row>
    <row r="78" customFormat="false" ht="15" hidden="false" customHeight="false" outlineLevel="0" collapsed="false">
      <c r="A78" s="7" t="s">
        <v>621</v>
      </c>
      <c r="B78" s="7" t="s">
        <v>827</v>
      </c>
      <c r="C78" s="7" t="s">
        <v>365</v>
      </c>
      <c r="D78" s="7" t="s">
        <v>828</v>
      </c>
      <c r="E78" s="7" t="s">
        <v>796</v>
      </c>
      <c r="F78" s="7" t="s">
        <v>797</v>
      </c>
      <c r="G78" s="7" t="s">
        <v>798</v>
      </c>
      <c r="H78" s="7" t="n">
        <v>3.1</v>
      </c>
      <c r="I78" s="7" t="s">
        <v>683</v>
      </c>
      <c r="J78" s="7" t="s">
        <v>684</v>
      </c>
      <c r="K78" s="7" t="s">
        <v>829</v>
      </c>
      <c r="L78" s="7" t="n">
        <v>481671400</v>
      </c>
      <c r="M78" s="7" t="s">
        <v>830</v>
      </c>
    </row>
    <row r="79" customFormat="false" ht="15" hidden="false" customHeight="false" outlineLevel="0" collapsed="false">
      <c r="A79" s="7" t="s">
        <v>621</v>
      </c>
      <c r="B79" s="7" t="s">
        <v>831</v>
      </c>
      <c r="C79" s="7" t="s">
        <v>365</v>
      </c>
      <c r="D79" s="7" t="s">
        <v>828</v>
      </c>
      <c r="E79" s="7" t="s">
        <v>796</v>
      </c>
      <c r="F79" s="7" t="s">
        <v>797</v>
      </c>
      <c r="G79" s="7" t="s">
        <v>798</v>
      </c>
      <c r="H79" s="7" t="n">
        <v>2.976</v>
      </c>
      <c r="I79" s="7" t="s">
        <v>683</v>
      </c>
      <c r="J79" s="7" t="s">
        <v>684</v>
      </c>
      <c r="K79" s="7" t="s">
        <v>832</v>
      </c>
      <c r="L79" s="7" t="n">
        <v>481671497</v>
      </c>
      <c r="M79" s="7" t="s">
        <v>830</v>
      </c>
    </row>
    <row r="80" customFormat="false" ht="15" hidden="false" customHeight="false" outlineLevel="0" collapsed="false">
      <c r="A80" s="7" t="s">
        <v>621</v>
      </c>
      <c r="B80" s="7" t="s">
        <v>833</v>
      </c>
      <c r="C80" s="7" t="s">
        <v>365</v>
      </c>
      <c r="D80" s="7" t="s">
        <v>828</v>
      </c>
      <c r="E80" s="7" t="s">
        <v>796</v>
      </c>
      <c r="F80" s="7" t="s">
        <v>797</v>
      </c>
      <c r="G80" s="7" t="s">
        <v>798</v>
      </c>
      <c r="H80" s="7" t="n">
        <v>3.255</v>
      </c>
      <c r="I80" s="7" t="s">
        <v>683</v>
      </c>
      <c r="J80" s="7" t="s">
        <v>684</v>
      </c>
      <c r="K80" s="7" t="s">
        <v>834</v>
      </c>
      <c r="L80" s="7" t="n">
        <v>481671594</v>
      </c>
      <c r="M80" s="7" t="s">
        <v>830</v>
      </c>
    </row>
    <row r="81" customFormat="false" ht="15" hidden="false" customHeight="false" outlineLevel="0" collapsed="false">
      <c r="A81" s="7" t="s">
        <v>621</v>
      </c>
      <c r="B81" s="7" t="s">
        <v>835</v>
      </c>
      <c r="C81" s="7" t="s">
        <v>365</v>
      </c>
      <c r="D81" s="7" t="s">
        <v>828</v>
      </c>
      <c r="E81" s="7" t="s">
        <v>796</v>
      </c>
      <c r="F81" s="7" t="s">
        <v>797</v>
      </c>
      <c r="G81" s="7" t="s">
        <v>798</v>
      </c>
      <c r="H81" s="7" t="n">
        <v>3.162</v>
      </c>
      <c r="I81" s="7" t="s">
        <v>683</v>
      </c>
      <c r="J81" s="7" t="s">
        <v>684</v>
      </c>
      <c r="K81" s="7" t="s">
        <v>836</v>
      </c>
      <c r="L81" s="7" t="n">
        <v>481671691</v>
      </c>
      <c r="M81" s="7" t="s">
        <v>830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4" min="3" style="0" width="28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40"/>
  </cols>
  <sheetData>
    <row r="1" customFormat="false" ht="15" hidden="false" customHeight="false" outlineLevel="0" collapsed="false">
      <c r="A1" s="6" t="s">
        <v>610</v>
      </c>
      <c r="B1" s="6" t="s">
        <v>837</v>
      </c>
      <c r="C1" s="6" t="s">
        <v>27</v>
      </c>
      <c r="D1" s="6" t="s">
        <v>838</v>
      </c>
      <c r="E1" s="6" t="s">
        <v>839</v>
      </c>
      <c r="F1" s="6" t="s">
        <v>840</v>
      </c>
      <c r="G1" s="6" t="s">
        <v>841</v>
      </c>
    </row>
    <row r="2" customFormat="false" ht="15" hidden="false" customHeight="false" outlineLevel="0" collapsed="false">
      <c r="A2" s="7" t="s">
        <v>621</v>
      </c>
      <c r="B2" s="7" t="s">
        <v>828</v>
      </c>
      <c r="C2" s="7" t="s">
        <v>179</v>
      </c>
      <c r="D2" s="7" t="s">
        <v>842</v>
      </c>
      <c r="E2" s="7" t="s">
        <v>179</v>
      </c>
      <c r="F2" s="7" t="s">
        <v>843</v>
      </c>
      <c r="G2" s="7" t="s">
        <v>844</v>
      </c>
    </row>
    <row r="3" customFormat="false" ht="15" hidden="false" customHeight="false" outlineLevel="0" collapsed="false">
      <c r="A3" s="7" t="s">
        <v>621</v>
      </c>
      <c r="B3" s="7" t="s">
        <v>828</v>
      </c>
      <c r="C3" s="7" t="s">
        <v>179</v>
      </c>
      <c r="D3" s="7" t="s">
        <v>446</v>
      </c>
      <c r="E3" s="7" t="s">
        <v>845</v>
      </c>
      <c r="F3" s="7" t="s">
        <v>846</v>
      </c>
      <c r="G3" s="7"/>
    </row>
    <row r="4" customFormat="false" ht="15" hidden="false" customHeight="false" outlineLevel="0" collapsed="false">
      <c r="A4" s="7" t="s">
        <v>621</v>
      </c>
      <c r="B4" s="7" t="s">
        <v>828</v>
      </c>
      <c r="C4" s="7" t="s">
        <v>179</v>
      </c>
      <c r="D4" s="7" t="s">
        <v>502</v>
      </c>
      <c r="E4" s="7" t="n">
        <v>25</v>
      </c>
      <c r="F4" s="7" t="s">
        <v>847</v>
      </c>
      <c r="G4" s="7"/>
    </row>
    <row r="5" customFormat="false" ht="15" hidden="false" customHeight="false" outlineLevel="0" collapsed="false">
      <c r="A5" s="7" t="s">
        <v>621</v>
      </c>
      <c r="B5" s="7" t="s">
        <v>828</v>
      </c>
      <c r="C5" s="7" t="s">
        <v>179</v>
      </c>
      <c r="D5" s="7" t="s">
        <v>448</v>
      </c>
      <c r="E5" s="7" t="s">
        <v>848</v>
      </c>
      <c r="F5" s="7" t="s">
        <v>843</v>
      </c>
      <c r="G5" s="7"/>
    </row>
    <row r="6" customFormat="false" ht="15" hidden="false" customHeight="false" outlineLevel="0" collapsed="false">
      <c r="A6" s="7" t="s">
        <v>621</v>
      </c>
      <c r="B6" s="7" t="s">
        <v>828</v>
      </c>
      <c r="C6" s="7" t="s">
        <v>179</v>
      </c>
      <c r="D6" s="7" t="s">
        <v>382</v>
      </c>
      <c r="E6" s="7" t="s">
        <v>849</v>
      </c>
      <c r="F6" s="7" t="s">
        <v>843</v>
      </c>
      <c r="G6" s="7"/>
    </row>
    <row r="7" customFormat="false" ht="15" hidden="false" customHeight="false" outlineLevel="0" collapsed="false">
      <c r="A7" s="7" t="s">
        <v>621</v>
      </c>
      <c r="B7" s="7" t="s">
        <v>848</v>
      </c>
      <c r="C7" s="7" t="s">
        <v>255</v>
      </c>
      <c r="D7" s="7" t="s">
        <v>842</v>
      </c>
      <c r="E7" s="7" t="s">
        <v>255</v>
      </c>
      <c r="F7" s="7" t="s">
        <v>843</v>
      </c>
      <c r="G7" s="7"/>
    </row>
    <row r="8" customFormat="false" ht="15" hidden="false" customHeight="false" outlineLevel="0" collapsed="false">
      <c r="A8" s="7" t="s">
        <v>621</v>
      </c>
      <c r="B8" s="7" t="s">
        <v>849</v>
      </c>
      <c r="C8" s="7" t="s">
        <v>259</v>
      </c>
      <c r="D8" s="7" t="s">
        <v>842</v>
      </c>
      <c r="E8" s="7" t="s">
        <v>259</v>
      </c>
      <c r="F8" s="7" t="s">
        <v>843</v>
      </c>
      <c r="G8" s="7"/>
    </row>
    <row r="9" customFormat="false" ht="15" hidden="false" customHeight="false" outlineLevel="0" collapsed="false">
      <c r="A9" s="7" t="s">
        <v>621</v>
      </c>
      <c r="B9" s="7" t="s">
        <v>849</v>
      </c>
      <c r="C9" s="7" t="s">
        <v>259</v>
      </c>
      <c r="D9" s="7" t="s">
        <v>472</v>
      </c>
      <c r="E9" s="7" t="s">
        <v>850</v>
      </c>
      <c r="F9" s="7" t="s">
        <v>846</v>
      </c>
      <c r="G9" s="7"/>
    </row>
    <row r="10" customFormat="false" ht="15" hidden="false" customHeight="false" outlineLevel="0" collapsed="false">
      <c r="A10" s="7" t="s">
        <v>621</v>
      </c>
      <c r="B10" s="7" t="s">
        <v>623</v>
      </c>
      <c r="C10" s="7" t="s">
        <v>137</v>
      </c>
      <c r="D10" s="7" t="s">
        <v>842</v>
      </c>
      <c r="E10" s="7" t="s">
        <v>137</v>
      </c>
      <c r="F10" s="7" t="s">
        <v>843</v>
      </c>
      <c r="G10" s="7" t="s">
        <v>851</v>
      </c>
    </row>
    <row r="11" customFormat="false" ht="15" hidden="false" customHeight="false" outlineLevel="0" collapsed="false">
      <c r="A11" s="7" t="s">
        <v>621</v>
      </c>
      <c r="B11" s="7" t="s">
        <v>623</v>
      </c>
      <c r="C11" s="7" t="s">
        <v>137</v>
      </c>
      <c r="D11" s="7" t="s">
        <v>490</v>
      </c>
      <c r="E11" s="7" t="s">
        <v>852</v>
      </c>
      <c r="F11" s="7" t="s">
        <v>846</v>
      </c>
      <c r="G11" s="7"/>
    </row>
    <row r="12" customFormat="false" ht="15" hidden="false" customHeight="false" outlineLevel="0" collapsed="false">
      <c r="A12" s="7" t="s">
        <v>621</v>
      </c>
      <c r="B12" s="7" t="s">
        <v>623</v>
      </c>
      <c r="C12" s="7" t="s">
        <v>137</v>
      </c>
      <c r="D12" s="7" t="s">
        <v>438</v>
      </c>
      <c r="E12" s="7" t="n">
        <v>7</v>
      </c>
      <c r="F12" s="7" t="s">
        <v>847</v>
      </c>
      <c r="G12" s="7"/>
    </row>
    <row r="13" customFormat="false" ht="15" hidden="false" customHeight="false" outlineLevel="0" collapsed="false">
      <c r="A13" s="7" t="s">
        <v>621</v>
      </c>
      <c r="B13" s="7" t="s">
        <v>623</v>
      </c>
      <c r="C13" s="7" t="s">
        <v>137</v>
      </c>
      <c r="D13" s="7" t="s">
        <v>402</v>
      </c>
      <c r="E13" s="7" t="n">
        <v>200</v>
      </c>
      <c r="F13" s="7" t="s">
        <v>853</v>
      </c>
      <c r="G13" s="7"/>
    </row>
    <row r="14" customFormat="false" ht="15" hidden="false" customHeight="false" outlineLevel="0" collapsed="false">
      <c r="A14" s="7" t="s">
        <v>621</v>
      </c>
      <c r="B14" s="7" t="s">
        <v>623</v>
      </c>
      <c r="C14" s="7" t="s">
        <v>137</v>
      </c>
      <c r="D14" s="7" t="s">
        <v>572</v>
      </c>
      <c r="E14" s="7" t="n">
        <v>725</v>
      </c>
      <c r="F14" s="7" t="s">
        <v>854</v>
      </c>
      <c r="G14" s="7"/>
    </row>
    <row r="15" customFormat="false" ht="15" hidden="false" customHeight="false" outlineLevel="0" collapsed="false">
      <c r="A15" s="7" t="s">
        <v>621</v>
      </c>
      <c r="B15" s="7" t="s">
        <v>623</v>
      </c>
      <c r="C15" s="7" t="s">
        <v>137</v>
      </c>
      <c r="D15" s="7" t="s">
        <v>410</v>
      </c>
      <c r="E15" s="7" t="n">
        <v>3</v>
      </c>
      <c r="F15" s="7" t="s">
        <v>853</v>
      </c>
      <c r="G15" s="7"/>
    </row>
    <row r="16" customFormat="false" ht="15" hidden="false" customHeight="false" outlineLevel="0" collapsed="false">
      <c r="A16" s="7" t="s">
        <v>621</v>
      </c>
      <c r="B16" s="7" t="s">
        <v>623</v>
      </c>
      <c r="C16" s="7" t="s">
        <v>137</v>
      </c>
      <c r="D16" s="7" t="s">
        <v>482</v>
      </c>
      <c r="E16" s="7" t="s">
        <v>855</v>
      </c>
      <c r="F16" s="7" t="s">
        <v>846</v>
      </c>
      <c r="G16" s="7"/>
    </row>
    <row r="17" customFormat="false" ht="15" hidden="false" customHeight="false" outlineLevel="0" collapsed="false">
      <c r="A17" s="7" t="s">
        <v>621</v>
      </c>
      <c r="B17" s="7" t="s">
        <v>623</v>
      </c>
      <c r="C17" s="7" t="s">
        <v>137</v>
      </c>
      <c r="D17" s="7" t="s">
        <v>496</v>
      </c>
      <c r="E17" s="7" t="s">
        <v>828</v>
      </c>
      <c r="F17" s="7" t="s">
        <v>843</v>
      </c>
      <c r="G17" s="7"/>
    </row>
    <row r="18" customFormat="false" ht="15" hidden="false" customHeight="false" outlineLevel="0" collapsed="false">
      <c r="A18" s="7" t="s">
        <v>621</v>
      </c>
      <c r="B18" s="7" t="s">
        <v>623</v>
      </c>
      <c r="C18" s="7" t="s">
        <v>137</v>
      </c>
      <c r="D18" s="7" t="s">
        <v>484</v>
      </c>
      <c r="E18" s="7" t="s">
        <v>856</v>
      </c>
      <c r="F18" s="7" t="s">
        <v>843</v>
      </c>
      <c r="G18" s="7"/>
    </row>
    <row r="19" customFormat="false" ht="15" hidden="false" customHeight="false" outlineLevel="0" collapsed="false">
      <c r="A19" s="7" t="s">
        <v>621</v>
      </c>
      <c r="B19" s="7" t="s">
        <v>623</v>
      </c>
      <c r="C19" s="7" t="s">
        <v>137</v>
      </c>
      <c r="D19" s="7" t="s">
        <v>460</v>
      </c>
      <c r="E19" s="7" t="s">
        <v>857</v>
      </c>
      <c r="F19" s="7" t="s">
        <v>843</v>
      </c>
      <c r="G19" s="7"/>
    </row>
    <row r="20" customFormat="false" ht="15" hidden="false" customHeight="false" outlineLevel="0" collapsed="false">
      <c r="A20" s="7" t="s">
        <v>621</v>
      </c>
      <c r="B20" s="7" t="s">
        <v>623</v>
      </c>
      <c r="C20" s="7" t="s">
        <v>137</v>
      </c>
      <c r="D20" s="7" t="s">
        <v>458</v>
      </c>
      <c r="E20" s="7" t="s">
        <v>858</v>
      </c>
      <c r="F20" s="7" t="s">
        <v>843</v>
      </c>
      <c r="G20" s="7"/>
    </row>
    <row r="21" customFormat="false" ht="15" hidden="false" customHeight="false" outlineLevel="0" collapsed="false">
      <c r="A21" s="7" t="s">
        <v>621</v>
      </c>
      <c r="B21" s="7" t="s">
        <v>623</v>
      </c>
      <c r="C21" s="7" t="s">
        <v>137</v>
      </c>
      <c r="D21" s="7" t="s">
        <v>498</v>
      </c>
      <c r="E21" s="7" t="s">
        <v>859</v>
      </c>
      <c r="F21" s="7" t="s">
        <v>843</v>
      </c>
      <c r="G21" s="7"/>
    </row>
    <row r="22" customFormat="false" ht="15" hidden="false" customHeight="false" outlineLevel="0" collapsed="false">
      <c r="A22" s="7" t="s">
        <v>621</v>
      </c>
      <c r="B22" s="7" t="s">
        <v>795</v>
      </c>
      <c r="C22" s="7" t="s">
        <v>117</v>
      </c>
      <c r="D22" s="7" t="s">
        <v>842</v>
      </c>
      <c r="E22" s="7" t="s">
        <v>117</v>
      </c>
      <c r="F22" s="7" t="s">
        <v>843</v>
      </c>
      <c r="G22" s="7" t="s">
        <v>860</v>
      </c>
    </row>
    <row r="23" customFormat="false" ht="15" hidden="false" customHeight="false" outlineLevel="0" collapsed="false">
      <c r="A23" s="7" t="s">
        <v>621</v>
      </c>
      <c r="B23" s="7" t="s">
        <v>795</v>
      </c>
      <c r="C23" s="7" t="s">
        <v>117</v>
      </c>
      <c r="D23" s="7" t="s">
        <v>490</v>
      </c>
      <c r="E23" s="7" t="s">
        <v>861</v>
      </c>
      <c r="F23" s="7" t="s">
        <v>846</v>
      </c>
      <c r="G23" s="7"/>
    </row>
    <row r="24" customFormat="false" ht="15" hidden="false" customHeight="false" outlineLevel="0" collapsed="false">
      <c r="A24" s="7" t="s">
        <v>621</v>
      </c>
      <c r="B24" s="7" t="s">
        <v>795</v>
      </c>
      <c r="C24" s="7" t="s">
        <v>117</v>
      </c>
      <c r="D24" s="7" t="s">
        <v>496</v>
      </c>
      <c r="E24" s="7" t="s">
        <v>828</v>
      </c>
      <c r="F24" s="7" t="s">
        <v>843</v>
      </c>
      <c r="G24" s="7"/>
    </row>
    <row r="25" customFormat="false" ht="15" hidden="false" customHeight="false" outlineLevel="0" collapsed="false">
      <c r="A25" s="7" t="s">
        <v>621</v>
      </c>
      <c r="B25" s="7" t="s">
        <v>862</v>
      </c>
      <c r="C25" s="7" t="s">
        <v>321</v>
      </c>
      <c r="D25" s="7" t="s">
        <v>842</v>
      </c>
      <c r="E25" s="7" t="s">
        <v>321</v>
      </c>
      <c r="F25" s="7" t="s">
        <v>843</v>
      </c>
      <c r="G25" s="7"/>
    </row>
    <row r="26" customFormat="false" ht="15" hidden="false" customHeight="false" outlineLevel="0" collapsed="false">
      <c r="A26" s="7" t="s">
        <v>621</v>
      </c>
      <c r="B26" s="7" t="s">
        <v>862</v>
      </c>
      <c r="C26" s="7" t="s">
        <v>321</v>
      </c>
      <c r="D26" s="7" t="s">
        <v>490</v>
      </c>
      <c r="E26" s="7" t="s">
        <v>863</v>
      </c>
      <c r="F26" s="7" t="s">
        <v>846</v>
      </c>
      <c r="G26" s="7"/>
    </row>
    <row r="27" customFormat="false" ht="15" hidden="false" customHeight="false" outlineLevel="0" collapsed="false">
      <c r="A27" s="7" t="s">
        <v>621</v>
      </c>
      <c r="B27" s="7" t="s">
        <v>862</v>
      </c>
      <c r="C27" s="7" t="s">
        <v>321</v>
      </c>
      <c r="D27" s="7" t="s">
        <v>442</v>
      </c>
      <c r="E27" s="7" t="s">
        <v>864</v>
      </c>
      <c r="F27" s="7" t="s">
        <v>843</v>
      </c>
      <c r="G27" s="7"/>
    </row>
    <row r="28" customFormat="false" ht="15" hidden="false" customHeight="false" outlineLevel="0" collapsed="false">
      <c r="A28" s="7" t="s">
        <v>621</v>
      </c>
      <c r="B28" s="7" t="s">
        <v>864</v>
      </c>
      <c r="C28" s="7" t="s">
        <v>173</v>
      </c>
      <c r="D28" s="7" t="s">
        <v>842</v>
      </c>
      <c r="E28" s="7" t="s">
        <v>173</v>
      </c>
      <c r="F28" s="7" t="s">
        <v>843</v>
      </c>
      <c r="G28" s="7"/>
    </row>
    <row r="29" customFormat="false" ht="15" hidden="false" customHeight="false" outlineLevel="0" collapsed="false">
      <c r="A29" s="7" t="s">
        <v>621</v>
      </c>
      <c r="B29" s="7" t="s">
        <v>864</v>
      </c>
      <c r="C29" s="7" t="s">
        <v>173</v>
      </c>
      <c r="D29" s="7" t="s">
        <v>450</v>
      </c>
      <c r="E29" s="7" t="s">
        <v>865</v>
      </c>
      <c r="F29" s="7" t="s">
        <v>843</v>
      </c>
      <c r="G29" s="7"/>
    </row>
    <row r="30" customFormat="false" ht="15" hidden="false" customHeight="false" outlineLevel="0" collapsed="false">
      <c r="A30" s="7" t="s">
        <v>621</v>
      </c>
      <c r="B30" s="7" t="s">
        <v>864</v>
      </c>
      <c r="C30" s="7" t="s">
        <v>173</v>
      </c>
      <c r="D30" s="7" t="s">
        <v>572</v>
      </c>
      <c r="E30" s="7" t="n">
        <v>800</v>
      </c>
      <c r="F30" s="7" t="s">
        <v>866</v>
      </c>
      <c r="G30" s="7"/>
    </row>
    <row r="31" customFormat="false" ht="15" hidden="false" customHeight="false" outlineLevel="0" collapsed="false">
      <c r="A31" s="7" t="s">
        <v>621</v>
      </c>
      <c r="B31" s="7" t="s">
        <v>856</v>
      </c>
      <c r="C31" s="7" t="s">
        <v>187</v>
      </c>
      <c r="D31" s="7" t="s">
        <v>842</v>
      </c>
      <c r="E31" s="7" t="s">
        <v>187</v>
      </c>
      <c r="F31" s="7" t="s">
        <v>843</v>
      </c>
      <c r="G31" s="7"/>
    </row>
    <row r="32" customFormat="false" ht="15" hidden="false" customHeight="false" outlineLevel="0" collapsed="false">
      <c r="A32" s="7" t="s">
        <v>621</v>
      </c>
      <c r="B32" s="7" t="s">
        <v>856</v>
      </c>
      <c r="C32" s="7" t="s">
        <v>187</v>
      </c>
      <c r="D32" s="7" t="s">
        <v>452</v>
      </c>
      <c r="E32" s="7" t="s">
        <v>867</v>
      </c>
      <c r="F32" s="7" t="s">
        <v>846</v>
      </c>
      <c r="G32" s="7"/>
    </row>
    <row r="33" customFormat="false" ht="15" hidden="false" customHeight="false" outlineLevel="0" collapsed="false">
      <c r="A33" s="7" t="s">
        <v>621</v>
      </c>
      <c r="B33" s="7" t="s">
        <v>865</v>
      </c>
      <c r="C33" s="7" t="s">
        <v>187</v>
      </c>
      <c r="D33" s="7" t="s">
        <v>842</v>
      </c>
      <c r="E33" s="7" t="s">
        <v>187</v>
      </c>
      <c r="F33" s="7" t="s">
        <v>843</v>
      </c>
      <c r="G33" s="7"/>
    </row>
    <row r="34" customFormat="false" ht="15" hidden="false" customHeight="false" outlineLevel="0" collapsed="false">
      <c r="A34" s="7" t="s">
        <v>621</v>
      </c>
      <c r="B34" s="7" t="s">
        <v>865</v>
      </c>
      <c r="C34" s="7" t="s">
        <v>187</v>
      </c>
      <c r="D34" s="7" t="s">
        <v>452</v>
      </c>
      <c r="E34" s="7" t="s">
        <v>868</v>
      </c>
      <c r="F34" s="7" t="s">
        <v>846</v>
      </c>
      <c r="G34" s="7"/>
    </row>
    <row r="35" customFormat="false" ht="15" hidden="false" customHeight="false" outlineLevel="0" collapsed="false">
      <c r="A35" s="7" t="s">
        <v>621</v>
      </c>
      <c r="B35" s="7" t="s">
        <v>869</v>
      </c>
      <c r="C35" s="7" t="s">
        <v>187</v>
      </c>
      <c r="D35" s="7" t="s">
        <v>842</v>
      </c>
      <c r="E35" s="7" t="s">
        <v>187</v>
      </c>
      <c r="F35" s="7" t="s">
        <v>843</v>
      </c>
      <c r="G35" s="7"/>
    </row>
    <row r="36" customFormat="false" ht="15" hidden="false" customHeight="false" outlineLevel="0" collapsed="false">
      <c r="A36" s="7" t="s">
        <v>621</v>
      </c>
      <c r="B36" s="7" t="s">
        <v>869</v>
      </c>
      <c r="C36" s="7" t="s">
        <v>187</v>
      </c>
      <c r="D36" s="7" t="s">
        <v>452</v>
      </c>
      <c r="E36" s="7" t="s">
        <v>870</v>
      </c>
      <c r="F36" s="7" t="s">
        <v>846</v>
      </c>
      <c r="G36" s="7"/>
    </row>
    <row r="37" customFormat="false" ht="15" hidden="false" customHeight="false" outlineLevel="0" collapsed="false">
      <c r="A37" s="7" t="s">
        <v>621</v>
      </c>
      <c r="B37" s="7" t="s">
        <v>857</v>
      </c>
      <c r="C37" s="7" t="s">
        <v>121</v>
      </c>
      <c r="D37" s="7" t="s">
        <v>842</v>
      </c>
      <c r="E37" s="7" t="s">
        <v>121</v>
      </c>
      <c r="F37" s="7" t="s">
        <v>843</v>
      </c>
      <c r="G37" s="7"/>
    </row>
    <row r="38" customFormat="false" ht="15" hidden="false" customHeight="false" outlineLevel="0" collapsed="false">
      <c r="A38" s="7" t="s">
        <v>621</v>
      </c>
      <c r="B38" s="7" t="s">
        <v>857</v>
      </c>
      <c r="C38" s="7" t="s">
        <v>121</v>
      </c>
      <c r="D38" s="7" t="s">
        <v>510</v>
      </c>
      <c r="E38" s="7" t="s">
        <v>871</v>
      </c>
      <c r="F38" s="7" t="s">
        <v>846</v>
      </c>
      <c r="G38" s="7"/>
    </row>
    <row r="39" customFormat="false" ht="15" hidden="false" customHeight="false" outlineLevel="0" collapsed="false">
      <c r="A39" s="7" t="s">
        <v>621</v>
      </c>
      <c r="B39" s="7" t="s">
        <v>858</v>
      </c>
      <c r="C39" s="7" t="s">
        <v>345</v>
      </c>
      <c r="D39" s="7" t="s">
        <v>842</v>
      </c>
      <c r="E39" s="7" t="s">
        <v>345</v>
      </c>
      <c r="F39" s="7" t="s">
        <v>843</v>
      </c>
      <c r="G39" s="7"/>
    </row>
    <row r="40" customFormat="false" ht="15" hidden="false" customHeight="false" outlineLevel="0" collapsed="false">
      <c r="A40" s="7" t="s">
        <v>621</v>
      </c>
      <c r="B40" s="7" t="s">
        <v>859</v>
      </c>
      <c r="C40" s="7" t="s">
        <v>249</v>
      </c>
      <c r="D40" s="7" t="s">
        <v>842</v>
      </c>
      <c r="E40" s="7" t="s">
        <v>249</v>
      </c>
      <c r="F40" s="7" t="s">
        <v>843</v>
      </c>
      <c r="G40" s="7"/>
    </row>
    <row r="41" customFormat="false" ht="15" hidden="false" customHeight="false" outlineLevel="0" collapsed="false">
      <c r="A41" s="7" t="s">
        <v>621</v>
      </c>
      <c r="B41" s="7" t="s">
        <v>859</v>
      </c>
      <c r="C41" s="7" t="s">
        <v>249</v>
      </c>
      <c r="D41" s="7" t="s">
        <v>564</v>
      </c>
      <c r="E41" s="7" t="n">
        <v>500</v>
      </c>
      <c r="F41" s="7" t="s">
        <v>853</v>
      </c>
      <c r="G41" s="7"/>
    </row>
    <row r="42" customFormat="false" ht="15" hidden="false" customHeight="false" outlineLevel="0" collapsed="false">
      <c r="A42" s="7" t="s">
        <v>621</v>
      </c>
      <c r="B42" s="7" t="s">
        <v>859</v>
      </c>
      <c r="C42" s="7" t="s">
        <v>249</v>
      </c>
      <c r="D42" s="7" t="s">
        <v>566</v>
      </c>
      <c r="E42" s="7" t="n">
        <v>300</v>
      </c>
      <c r="F42" s="7" t="s">
        <v>853</v>
      </c>
      <c r="G42" s="7"/>
    </row>
    <row r="43" customFormat="false" ht="15" hidden="false" customHeight="false" outlineLevel="0" collapsed="false">
      <c r="A43" s="7" t="s">
        <v>621</v>
      </c>
      <c r="B43" s="7" t="s">
        <v>859</v>
      </c>
      <c r="C43" s="7" t="s">
        <v>249</v>
      </c>
      <c r="D43" s="7" t="s">
        <v>568</v>
      </c>
      <c r="E43" s="7" t="n">
        <v>5</v>
      </c>
      <c r="F43" s="7" t="s">
        <v>853</v>
      </c>
      <c r="G43" s="7"/>
    </row>
    <row r="44" customFormat="false" ht="15" hidden="false" customHeight="false" outlineLevel="0" collapsed="false">
      <c r="A44" s="7" t="s">
        <v>621</v>
      </c>
      <c r="B44" s="7" t="s">
        <v>859</v>
      </c>
      <c r="C44" s="7" t="s">
        <v>249</v>
      </c>
      <c r="D44" s="7" t="s">
        <v>580</v>
      </c>
      <c r="E44" s="7" t="n">
        <v>2</v>
      </c>
      <c r="F44" s="7" t="s">
        <v>853</v>
      </c>
      <c r="G44" s="7"/>
    </row>
    <row r="45" customFormat="false" ht="15" hidden="false" customHeight="false" outlineLevel="0" collapsed="false">
      <c r="A45" s="7" t="s">
        <v>621</v>
      </c>
      <c r="B45" s="7" t="s">
        <v>626</v>
      </c>
      <c r="C45" s="7" t="s">
        <v>229</v>
      </c>
      <c r="D45" s="7" t="s">
        <v>842</v>
      </c>
      <c r="E45" s="7" t="s">
        <v>229</v>
      </c>
      <c r="F45" s="7" t="s">
        <v>843</v>
      </c>
      <c r="G45" s="7" t="s">
        <v>872</v>
      </c>
    </row>
    <row r="46" customFormat="false" ht="15" hidden="false" customHeight="false" outlineLevel="0" collapsed="false">
      <c r="A46" s="7" t="s">
        <v>621</v>
      </c>
      <c r="B46" s="7" t="s">
        <v>626</v>
      </c>
      <c r="C46" s="7" t="s">
        <v>229</v>
      </c>
      <c r="D46" s="7" t="s">
        <v>560</v>
      </c>
      <c r="E46" s="7" t="s">
        <v>873</v>
      </c>
      <c r="F46" s="7" t="s">
        <v>846</v>
      </c>
      <c r="G46" s="7"/>
    </row>
    <row r="47" customFormat="false" ht="15" hidden="false" customHeight="false" outlineLevel="0" collapsed="false">
      <c r="A47" s="7" t="s">
        <v>621</v>
      </c>
      <c r="B47" s="7" t="s">
        <v>626</v>
      </c>
      <c r="C47" s="7" t="s">
        <v>229</v>
      </c>
      <c r="D47" s="7" t="s">
        <v>562</v>
      </c>
      <c r="E47" s="7" t="n">
        <v>1</v>
      </c>
      <c r="F47" s="7" t="s">
        <v>847</v>
      </c>
      <c r="G47" s="7"/>
    </row>
    <row r="48" customFormat="false" ht="15" hidden="false" customHeight="false" outlineLevel="0" collapsed="false">
      <c r="A48" s="7" t="s">
        <v>621</v>
      </c>
      <c r="B48" s="7" t="s">
        <v>626</v>
      </c>
      <c r="C48" s="7" t="s">
        <v>229</v>
      </c>
      <c r="D48" s="7" t="s">
        <v>524</v>
      </c>
      <c r="E48" s="7" t="n">
        <v>65</v>
      </c>
      <c r="F48" s="7" t="s">
        <v>853</v>
      </c>
      <c r="G48" s="7"/>
    </row>
    <row r="49" customFormat="false" ht="15" hidden="false" customHeight="false" outlineLevel="0" collapsed="false">
      <c r="A49" s="7" t="s">
        <v>621</v>
      </c>
      <c r="B49" s="7" t="s">
        <v>626</v>
      </c>
      <c r="C49" s="7" t="s">
        <v>229</v>
      </c>
      <c r="D49" s="7" t="s">
        <v>408</v>
      </c>
      <c r="E49" s="7" t="n">
        <v>1.1</v>
      </c>
      <c r="F49" s="7" t="s">
        <v>853</v>
      </c>
      <c r="G49" s="7"/>
    </row>
    <row r="50" customFormat="false" ht="15" hidden="false" customHeight="false" outlineLevel="0" collapsed="false">
      <c r="A50" s="7" t="s">
        <v>621</v>
      </c>
      <c r="B50" s="7" t="s">
        <v>626</v>
      </c>
      <c r="C50" s="7" t="s">
        <v>229</v>
      </c>
      <c r="D50" s="7" t="s">
        <v>528</v>
      </c>
      <c r="E50" s="7" t="s">
        <v>629</v>
      </c>
      <c r="F50" s="7" t="s">
        <v>874</v>
      </c>
      <c r="G50" s="7"/>
    </row>
    <row r="51" customFormat="false" ht="15" hidden="false" customHeight="false" outlineLevel="0" collapsed="false">
      <c r="A51" s="7" t="s">
        <v>621</v>
      </c>
      <c r="B51" s="7" t="s">
        <v>626</v>
      </c>
      <c r="C51" s="7" t="s">
        <v>229</v>
      </c>
      <c r="D51" s="7" t="s">
        <v>526</v>
      </c>
      <c r="E51" s="7" t="s">
        <v>875</v>
      </c>
      <c r="F51" s="7" t="s">
        <v>874</v>
      </c>
      <c r="G51" s="7"/>
    </row>
    <row r="52" customFormat="false" ht="15" hidden="false" customHeight="false" outlineLevel="0" collapsed="false">
      <c r="A52" s="7" t="s">
        <v>621</v>
      </c>
      <c r="B52" s="7" t="s">
        <v>626</v>
      </c>
      <c r="C52" s="7" t="s">
        <v>229</v>
      </c>
      <c r="D52" s="7" t="s">
        <v>440</v>
      </c>
      <c r="E52" s="7" t="s">
        <v>623</v>
      </c>
      <c r="F52" s="7" t="s">
        <v>843</v>
      </c>
      <c r="G52" s="7"/>
    </row>
    <row r="53" customFormat="false" ht="15" hidden="false" customHeight="false" outlineLevel="0" collapsed="false">
      <c r="A53" s="7" t="s">
        <v>621</v>
      </c>
      <c r="B53" s="7" t="s">
        <v>626</v>
      </c>
      <c r="C53" s="7" t="s">
        <v>229</v>
      </c>
      <c r="D53" s="7" t="s">
        <v>462</v>
      </c>
      <c r="E53" s="7" t="s">
        <v>623</v>
      </c>
      <c r="F53" s="7" t="s">
        <v>843</v>
      </c>
      <c r="G53" s="7"/>
    </row>
    <row r="54" customFormat="false" ht="15" hidden="false" customHeight="false" outlineLevel="0" collapsed="false">
      <c r="A54" s="7" t="s">
        <v>621</v>
      </c>
      <c r="B54" s="7" t="s">
        <v>626</v>
      </c>
      <c r="C54" s="7" t="s">
        <v>229</v>
      </c>
      <c r="D54" s="7" t="s">
        <v>414</v>
      </c>
      <c r="E54" s="7" t="s">
        <v>705</v>
      </c>
      <c r="F54" s="7" t="s">
        <v>843</v>
      </c>
      <c r="G54" s="7"/>
    </row>
    <row r="55" customFormat="false" ht="15" hidden="false" customHeight="false" outlineLevel="0" collapsed="false">
      <c r="A55" s="7" t="s">
        <v>621</v>
      </c>
      <c r="B55" s="7" t="s">
        <v>626</v>
      </c>
      <c r="C55" s="7" t="s">
        <v>229</v>
      </c>
      <c r="D55" s="7" t="s">
        <v>540</v>
      </c>
      <c r="E55" s="7" t="s">
        <v>649</v>
      </c>
      <c r="F55" s="7" t="s">
        <v>843</v>
      </c>
      <c r="G55" s="7"/>
    </row>
    <row r="56" customFormat="false" ht="15" hidden="false" customHeight="false" outlineLevel="0" collapsed="false">
      <c r="A56" s="7" t="s">
        <v>621</v>
      </c>
      <c r="B56" s="7" t="s">
        <v>626</v>
      </c>
      <c r="C56" s="7" t="s">
        <v>229</v>
      </c>
      <c r="D56" s="7" t="s">
        <v>456</v>
      </c>
      <c r="E56" s="7" t="s">
        <v>798</v>
      </c>
      <c r="F56" s="7" t="s">
        <v>843</v>
      </c>
      <c r="G56" s="7"/>
    </row>
    <row r="57" customFormat="false" ht="15" hidden="false" customHeight="false" outlineLevel="0" collapsed="false">
      <c r="A57" s="7" t="s">
        <v>621</v>
      </c>
      <c r="B57" s="7" t="s">
        <v>626</v>
      </c>
      <c r="C57" s="7" t="s">
        <v>229</v>
      </c>
      <c r="D57" s="7" t="s">
        <v>522</v>
      </c>
      <c r="E57" s="7" t="s">
        <v>876</v>
      </c>
      <c r="F57" s="7" t="s">
        <v>843</v>
      </c>
      <c r="G57" s="7"/>
    </row>
    <row r="58" customFormat="false" ht="15" hidden="false" customHeight="false" outlineLevel="0" collapsed="false">
      <c r="A58" s="7" t="s">
        <v>621</v>
      </c>
      <c r="B58" s="7" t="s">
        <v>626</v>
      </c>
      <c r="C58" s="7" t="s">
        <v>229</v>
      </c>
      <c r="D58" s="7" t="s">
        <v>570</v>
      </c>
      <c r="E58" s="7" t="s">
        <v>877</v>
      </c>
      <c r="F58" s="7" t="s">
        <v>843</v>
      </c>
      <c r="G58" s="7"/>
    </row>
    <row r="59" customFormat="false" ht="15" hidden="false" customHeight="false" outlineLevel="0" collapsed="false">
      <c r="A59" s="7" t="s">
        <v>621</v>
      </c>
      <c r="B59" s="7" t="s">
        <v>626</v>
      </c>
      <c r="C59" s="7" t="s">
        <v>229</v>
      </c>
      <c r="D59" s="7" t="s">
        <v>602</v>
      </c>
      <c r="E59" s="7" t="s">
        <v>878</v>
      </c>
      <c r="F59" s="7" t="s">
        <v>843</v>
      </c>
      <c r="G59" s="7"/>
    </row>
    <row r="60" customFormat="false" ht="15" hidden="false" customHeight="false" outlineLevel="0" collapsed="false">
      <c r="A60" s="7" t="s">
        <v>621</v>
      </c>
      <c r="B60" s="7" t="s">
        <v>626</v>
      </c>
      <c r="C60" s="7" t="s">
        <v>229</v>
      </c>
      <c r="D60" s="7" t="s">
        <v>464</v>
      </c>
      <c r="E60" s="7" t="s">
        <v>879</v>
      </c>
      <c r="F60" s="7" t="s">
        <v>843</v>
      </c>
      <c r="G60" s="7"/>
    </row>
    <row r="61" customFormat="false" ht="15" hidden="false" customHeight="false" outlineLevel="0" collapsed="false">
      <c r="A61" s="7" t="s">
        <v>621</v>
      </c>
      <c r="B61" s="7" t="s">
        <v>626</v>
      </c>
      <c r="C61" s="7" t="s">
        <v>229</v>
      </c>
      <c r="D61" s="7" t="s">
        <v>596</v>
      </c>
      <c r="E61" s="7" t="s">
        <v>880</v>
      </c>
      <c r="F61" s="7" t="s">
        <v>843</v>
      </c>
      <c r="G61" s="7"/>
    </row>
    <row r="62" customFormat="false" ht="15" hidden="false" customHeight="false" outlineLevel="0" collapsed="false">
      <c r="A62" s="7" t="s">
        <v>621</v>
      </c>
      <c r="B62" s="7" t="s">
        <v>626</v>
      </c>
      <c r="C62" s="7" t="s">
        <v>229</v>
      </c>
      <c r="D62" s="7" t="s">
        <v>426</v>
      </c>
      <c r="E62" s="7" t="s">
        <v>881</v>
      </c>
      <c r="F62" s="7" t="s">
        <v>843</v>
      </c>
      <c r="G62" s="7"/>
    </row>
    <row r="63" customFormat="false" ht="15" hidden="false" customHeight="false" outlineLevel="0" collapsed="false">
      <c r="A63" s="7" t="s">
        <v>621</v>
      </c>
      <c r="B63" s="7" t="s">
        <v>626</v>
      </c>
      <c r="C63" s="7" t="s">
        <v>229</v>
      </c>
      <c r="D63" s="7" t="s">
        <v>594</v>
      </c>
      <c r="E63" s="7" t="s">
        <v>723</v>
      </c>
      <c r="F63" s="7" t="s">
        <v>843</v>
      </c>
      <c r="G63" s="7"/>
    </row>
    <row r="64" customFormat="false" ht="15" hidden="false" customHeight="false" outlineLevel="0" collapsed="false">
      <c r="A64" s="7" t="s">
        <v>621</v>
      </c>
      <c r="B64" s="7" t="s">
        <v>626</v>
      </c>
      <c r="C64" s="7" t="s">
        <v>229</v>
      </c>
      <c r="D64" s="7" t="s">
        <v>600</v>
      </c>
      <c r="E64" s="7" t="s">
        <v>882</v>
      </c>
      <c r="F64" s="7" t="s">
        <v>843</v>
      </c>
      <c r="G64" s="7"/>
    </row>
    <row r="65" customFormat="false" ht="15" hidden="false" customHeight="false" outlineLevel="0" collapsed="false">
      <c r="A65" s="7" t="s">
        <v>621</v>
      </c>
      <c r="B65" s="7" t="s">
        <v>626</v>
      </c>
      <c r="C65" s="7" t="s">
        <v>229</v>
      </c>
      <c r="D65" s="7" t="s">
        <v>598</v>
      </c>
      <c r="E65" s="7" t="s">
        <v>883</v>
      </c>
      <c r="F65" s="7" t="s">
        <v>843</v>
      </c>
      <c r="G65" s="7"/>
    </row>
    <row r="66" customFormat="false" ht="15" hidden="false" customHeight="false" outlineLevel="0" collapsed="false">
      <c r="A66" s="7" t="s">
        <v>621</v>
      </c>
      <c r="B66" s="7" t="s">
        <v>626</v>
      </c>
      <c r="C66" s="7" t="s">
        <v>229</v>
      </c>
      <c r="D66" s="7" t="s">
        <v>478</v>
      </c>
      <c r="E66" s="7" t="s">
        <v>884</v>
      </c>
      <c r="F66" s="7" t="s">
        <v>843</v>
      </c>
      <c r="G66" s="7"/>
    </row>
    <row r="67" customFormat="false" ht="15" hidden="false" customHeight="false" outlineLevel="0" collapsed="false">
      <c r="A67" s="7" t="s">
        <v>621</v>
      </c>
      <c r="B67" s="7" t="s">
        <v>798</v>
      </c>
      <c r="C67" s="7" t="s">
        <v>229</v>
      </c>
      <c r="D67" s="7" t="s">
        <v>842</v>
      </c>
      <c r="E67" s="7" t="s">
        <v>229</v>
      </c>
      <c r="F67" s="7" t="s">
        <v>843</v>
      </c>
      <c r="G67" s="7" t="s">
        <v>885</v>
      </c>
    </row>
    <row r="68" customFormat="false" ht="15" hidden="false" customHeight="false" outlineLevel="0" collapsed="false">
      <c r="A68" s="7" t="s">
        <v>621</v>
      </c>
      <c r="B68" s="7" t="s">
        <v>798</v>
      </c>
      <c r="C68" s="7" t="s">
        <v>229</v>
      </c>
      <c r="D68" s="7" t="s">
        <v>562</v>
      </c>
      <c r="E68" s="7" t="n">
        <v>2</v>
      </c>
      <c r="F68" s="7" t="s">
        <v>847</v>
      </c>
      <c r="G68" s="7"/>
    </row>
    <row r="69" customFormat="false" ht="15" hidden="false" customHeight="false" outlineLevel="0" collapsed="false">
      <c r="A69" s="7" t="s">
        <v>621</v>
      </c>
      <c r="B69" s="7" t="s">
        <v>798</v>
      </c>
      <c r="C69" s="7" t="s">
        <v>229</v>
      </c>
      <c r="D69" s="7" t="s">
        <v>414</v>
      </c>
      <c r="E69" s="7" t="s">
        <v>797</v>
      </c>
      <c r="F69" s="7" t="s">
        <v>843</v>
      </c>
      <c r="G69" s="7"/>
    </row>
    <row r="70" customFormat="false" ht="15" hidden="false" customHeight="false" outlineLevel="0" collapsed="false">
      <c r="A70" s="7" t="s">
        <v>621</v>
      </c>
      <c r="B70" s="7" t="s">
        <v>876</v>
      </c>
      <c r="C70" s="7" t="s">
        <v>291</v>
      </c>
      <c r="D70" s="7" t="s">
        <v>842</v>
      </c>
      <c r="E70" s="7" t="s">
        <v>291</v>
      </c>
      <c r="F70" s="7" t="s">
        <v>843</v>
      </c>
      <c r="G70" s="7"/>
    </row>
    <row r="71" customFormat="false" ht="15" hidden="false" customHeight="false" outlineLevel="0" collapsed="false">
      <c r="A71" s="7" t="s">
        <v>621</v>
      </c>
      <c r="B71" s="7" t="s">
        <v>877</v>
      </c>
      <c r="C71" s="7" t="s">
        <v>163</v>
      </c>
      <c r="D71" s="7" t="s">
        <v>842</v>
      </c>
      <c r="E71" s="7" t="s">
        <v>163</v>
      </c>
      <c r="F71" s="7" t="s">
        <v>843</v>
      </c>
      <c r="G71" s="7"/>
    </row>
    <row r="72" customFormat="false" ht="15" hidden="false" customHeight="false" outlineLevel="0" collapsed="false">
      <c r="A72" s="7" t="s">
        <v>621</v>
      </c>
      <c r="B72" s="7" t="s">
        <v>886</v>
      </c>
      <c r="C72" s="7" t="s">
        <v>49</v>
      </c>
      <c r="D72" s="7" t="s">
        <v>842</v>
      </c>
      <c r="E72" s="7" t="s">
        <v>49</v>
      </c>
      <c r="F72" s="7" t="s">
        <v>843</v>
      </c>
      <c r="G72" s="7"/>
    </row>
    <row r="73" customFormat="false" ht="15" hidden="false" customHeight="false" outlineLevel="0" collapsed="false">
      <c r="A73" s="7" t="s">
        <v>621</v>
      </c>
      <c r="B73" s="7" t="s">
        <v>878</v>
      </c>
      <c r="C73" s="7" t="s">
        <v>265</v>
      </c>
      <c r="D73" s="7" t="s">
        <v>842</v>
      </c>
      <c r="E73" s="7" t="s">
        <v>265</v>
      </c>
      <c r="F73" s="7" t="s">
        <v>843</v>
      </c>
      <c r="G73" s="7"/>
    </row>
    <row r="74" customFormat="false" ht="15" hidden="false" customHeight="false" outlineLevel="0" collapsed="false">
      <c r="A74" s="7" t="s">
        <v>621</v>
      </c>
      <c r="B74" s="7" t="s">
        <v>878</v>
      </c>
      <c r="C74" s="7" t="s">
        <v>265</v>
      </c>
      <c r="D74" s="7" t="s">
        <v>480</v>
      </c>
      <c r="E74" s="7" t="s">
        <v>887</v>
      </c>
      <c r="F74" s="7" t="s">
        <v>843</v>
      </c>
      <c r="G74" s="7"/>
    </row>
    <row r="75" customFormat="false" ht="15" hidden="false" customHeight="false" outlineLevel="0" collapsed="false">
      <c r="A75" s="7" t="s">
        <v>621</v>
      </c>
      <c r="B75" s="7" t="s">
        <v>887</v>
      </c>
      <c r="C75" s="7" t="s">
        <v>293</v>
      </c>
      <c r="D75" s="7" t="s">
        <v>842</v>
      </c>
      <c r="E75" s="7" t="s">
        <v>293</v>
      </c>
      <c r="F75" s="7" t="s">
        <v>843</v>
      </c>
      <c r="G75" s="7"/>
    </row>
    <row r="76" customFormat="false" ht="15" hidden="false" customHeight="false" outlineLevel="0" collapsed="false">
      <c r="A76" s="7" t="s">
        <v>621</v>
      </c>
      <c r="B76" s="7" t="s">
        <v>887</v>
      </c>
      <c r="C76" s="7" t="s">
        <v>293</v>
      </c>
      <c r="D76" s="7" t="s">
        <v>548</v>
      </c>
      <c r="E76" s="7" t="s">
        <v>271</v>
      </c>
      <c r="F76" s="7" t="s">
        <v>888</v>
      </c>
      <c r="G76" s="7"/>
    </row>
    <row r="77" customFormat="false" ht="15" hidden="false" customHeight="false" outlineLevel="0" collapsed="false">
      <c r="A77" s="7" t="s">
        <v>621</v>
      </c>
      <c r="B77" s="7" t="s">
        <v>887</v>
      </c>
      <c r="C77" s="7" t="s">
        <v>293</v>
      </c>
      <c r="D77" s="7" t="s">
        <v>550</v>
      </c>
      <c r="E77" s="7" t="n">
        <v>5</v>
      </c>
      <c r="F77" s="7" t="s">
        <v>853</v>
      </c>
      <c r="G77" s="7"/>
    </row>
    <row r="78" customFormat="false" ht="15" hidden="false" customHeight="false" outlineLevel="0" collapsed="false">
      <c r="A78" s="7" t="s">
        <v>621</v>
      </c>
      <c r="B78" s="7" t="s">
        <v>879</v>
      </c>
      <c r="C78" s="7" t="s">
        <v>57</v>
      </c>
      <c r="D78" s="7" t="s">
        <v>842</v>
      </c>
      <c r="E78" s="7" t="s">
        <v>57</v>
      </c>
      <c r="F78" s="7" t="s">
        <v>843</v>
      </c>
      <c r="G78" s="7"/>
    </row>
    <row r="79" customFormat="false" ht="15" hidden="false" customHeight="false" outlineLevel="0" collapsed="false">
      <c r="A79" s="7" t="s">
        <v>621</v>
      </c>
      <c r="B79" s="7" t="s">
        <v>880</v>
      </c>
      <c r="C79" s="7" t="s">
        <v>205</v>
      </c>
      <c r="D79" s="7" t="s">
        <v>842</v>
      </c>
      <c r="E79" s="7" t="s">
        <v>205</v>
      </c>
      <c r="F79" s="7" t="s">
        <v>843</v>
      </c>
      <c r="G79" s="7"/>
    </row>
    <row r="80" customFormat="false" ht="15" hidden="false" customHeight="false" outlineLevel="0" collapsed="false">
      <c r="A80" s="7" t="s">
        <v>621</v>
      </c>
      <c r="B80" s="7" t="s">
        <v>880</v>
      </c>
      <c r="C80" s="7" t="s">
        <v>205</v>
      </c>
      <c r="D80" s="7" t="s">
        <v>412</v>
      </c>
      <c r="E80" s="7" t="n">
        <v>0.85</v>
      </c>
      <c r="F80" s="7" t="s">
        <v>853</v>
      </c>
      <c r="G80" s="7"/>
    </row>
    <row r="81" customFormat="false" ht="15" hidden="false" customHeight="false" outlineLevel="0" collapsed="false">
      <c r="A81" s="7" t="s">
        <v>621</v>
      </c>
      <c r="B81" s="7" t="s">
        <v>881</v>
      </c>
      <c r="C81" s="7" t="s">
        <v>233</v>
      </c>
      <c r="D81" s="7" t="s">
        <v>842</v>
      </c>
      <c r="E81" s="7" t="s">
        <v>233</v>
      </c>
      <c r="F81" s="7" t="s">
        <v>843</v>
      </c>
      <c r="G81" s="7"/>
    </row>
    <row r="82" customFormat="false" ht="15" hidden="false" customHeight="false" outlineLevel="0" collapsed="false">
      <c r="A82" s="7" t="s">
        <v>621</v>
      </c>
      <c r="B82" s="7" t="s">
        <v>881</v>
      </c>
      <c r="C82" s="7" t="s">
        <v>233</v>
      </c>
      <c r="D82" s="7" t="s">
        <v>390</v>
      </c>
      <c r="E82" s="7" t="n">
        <v>60</v>
      </c>
      <c r="F82" s="7" t="s">
        <v>853</v>
      </c>
      <c r="G82" s="7"/>
    </row>
    <row r="83" customFormat="false" ht="15" hidden="false" customHeight="false" outlineLevel="0" collapsed="false">
      <c r="A83" s="7" t="s">
        <v>621</v>
      </c>
      <c r="B83" s="7" t="s">
        <v>881</v>
      </c>
      <c r="C83" s="7" t="s">
        <v>233</v>
      </c>
      <c r="D83" s="7" t="s">
        <v>392</v>
      </c>
      <c r="E83" s="7" t="n">
        <v>25</v>
      </c>
      <c r="F83" s="7" t="s">
        <v>853</v>
      </c>
      <c r="G83" s="7"/>
    </row>
    <row r="84" customFormat="false" ht="15" hidden="false" customHeight="false" outlineLevel="0" collapsed="false">
      <c r="A84" s="7" t="s">
        <v>621</v>
      </c>
      <c r="B84" s="7" t="s">
        <v>705</v>
      </c>
      <c r="C84" s="7" t="s">
        <v>329</v>
      </c>
      <c r="D84" s="7" t="s">
        <v>842</v>
      </c>
      <c r="E84" s="7" t="s">
        <v>329</v>
      </c>
      <c r="F84" s="7" t="s">
        <v>843</v>
      </c>
      <c r="G84" s="7" t="s">
        <v>889</v>
      </c>
    </row>
    <row r="85" customFormat="false" ht="15" hidden="false" customHeight="false" outlineLevel="0" collapsed="false">
      <c r="A85" s="7" t="s">
        <v>621</v>
      </c>
      <c r="B85" s="7" t="s">
        <v>705</v>
      </c>
      <c r="C85" s="7" t="s">
        <v>329</v>
      </c>
      <c r="D85" s="7" t="s">
        <v>574</v>
      </c>
      <c r="E85" s="7" t="s">
        <v>890</v>
      </c>
      <c r="F85" s="7" t="s">
        <v>846</v>
      </c>
      <c r="G85" s="7"/>
    </row>
    <row r="86" customFormat="false" ht="15" hidden="false" customHeight="false" outlineLevel="0" collapsed="false">
      <c r="A86" s="7" t="s">
        <v>621</v>
      </c>
      <c r="B86" s="7" t="s">
        <v>705</v>
      </c>
      <c r="C86" s="7" t="s">
        <v>329</v>
      </c>
      <c r="D86" s="7" t="s">
        <v>534</v>
      </c>
      <c r="E86" s="7" t="s">
        <v>891</v>
      </c>
      <c r="F86" s="7" t="s">
        <v>846</v>
      </c>
      <c r="G86" s="7"/>
    </row>
    <row r="87" customFormat="false" ht="15" hidden="false" customHeight="false" outlineLevel="0" collapsed="false">
      <c r="A87" s="7" t="s">
        <v>621</v>
      </c>
      <c r="B87" s="7" t="s">
        <v>705</v>
      </c>
      <c r="C87" s="7" t="s">
        <v>329</v>
      </c>
      <c r="D87" s="7" t="s">
        <v>542</v>
      </c>
      <c r="E87" s="7" t="s">
        <v>892</v>
      </c>
      <c r="F87" s="7" t="s">
        <v>874</v>
      </c>
      <c r="G87" s="7"/>
    </row>
    <row r="88" customFormat="false" ht="15" hidden="false" customHeight="false" outlineLevel="0" collapsed="false">
      <c r="A88" s="7" t="s">
        <v>621</v>
      </c>
      <c r="B88" s="7" t="s">
        <v>705</v>
      </c>
      <c r="C88" s="7" t="s">
        <v>329</v>
      </c>
      <c r="D88" s="7" t="s">
        <v>488</v>
      </c>
      <c r="E88" s="7" t="s">
        <v>893</v>
      </c>
      <c r="F88" s="7" t="s">
        <v>843</v>
      </c>
      <c r="G88" s="7"/>
    </row>
    <row r="89" customFormat="false" ht="15" hidden="false" customHeight="false" outlineLevel="0" collapsed="false">
      <c r="A89" s="7" t="s">
        <v>621</v>
      </c>
      <c r="B89" s="7" t="s">
        <v>705</v>
      </c>
      <c r="C89" s="7" t="s">
        <v>329</v>
      </c>
      <c r="D89" s="7" t="s">
        <v>578</v>
      </c>
      <c r="E89" s="7" t="s">
        <v>894</v>
      </c>
      <c r="F89" s="7" t="s">
        <v>843</v>
      </c>
      <c r="G89" s="7"/>
    </row>
    <row r="90" customFormat="false" ht="15" hidden="false" customHeight="false" outlineLevel="0" collapsed="false">
      <c r="A90" s="7" t="s">
        <v>621</v>
      </c>
      <c r="B90" s="7" t="s">
        <v>705</v>
      </c>
      <c r="C90" s="7" t="s">
        <v>329</v>
      </c>
      <c r="D90" s="7" t="s">
        <v>486</v>
      </c>
      <c r="E90" s="7" t="s">
        <v>649</v>
      </c>
      <c r="F90" s="7" t="s">
        <v>843</v>
      </c>
      <c r="G90" s="7"/>
    </row>
    <row r="91" customFormat="false" ht="15" hidden="false" customHeight="false" outlineLevel="0" collapsed="false">
      <c r="A91" s="7" t="s">
        <v>621</v>
      </c>
      <c r="B91" s="7" t="s">
        <v>705</v>
      </c>
      <c r="C91" s="7" t="s">
        <v>329</v>
      </c>
      <c r="D91" s="7" t="s">
        <v>486</v>
      </c>
      <c r="E91" s="7" t="s">
        <v>625</v>
      </c>
      <c r="F91" s="7" t="s">
        <v>843</v>
      </c>
      <c r="G91" s="7"/>
    </row>
    <row r="92" customFormat="false" ht="15" hidden="false" customHeight="false" outlineLevel="0" collapsed="false">
      <c r="A92" s="7" t="s">
        <v>621</v>
      </c>
      <c r="B92" s="7" t="s">
        <v>705</v>
      </c>
      <c r="C92" s="7" t="s">
        <v>329</v>
      </c>
      <c r="D92" s="7" t="s">
        <v>486</v>
      </c>
      <c r="E92" s="7" t="s">
        <v>662</v>
      </c>
      <c r="F92" s="7" t="s">
        <v>843</v>
      </c>
      <c r="G92" s="7"/>
    </row>
    <row r="93" customFormat="false" ht="15" hidden="false" customHeight="false" outlineLevel="0" collapsed="false">
      <c r="A93" s="7" t="s">
        <v>621</v>
      </c>
      <c r="B93" s="7" t="s">
        <v>705</v>
      </c>
      <c r="C93" s="7" t="s">
        <v>329</v>
      </c>
      <c r="D93" s="7" t="s">
        <v>486</v>
      </c>
      <c r="E93" s="7" t="s">
        <v>895</v>
      </c>
      <c r="F93" s="7" t="s">
        <v>843</v>
      </c>
      <c r="G93" s="7"/>
    </row>
    <row r="94" customFormat="false" ht="15" hidden="false" customHeight="false" outlineLevel="0" collapsed="false">
      <c r="A94" s="7" t="s">
        <v>621</v>
      </c>
      <c r="B94" s="7" t="s">
        <v>705</v>
      </c>
      <c r="C94" s="7" t="s">
        <v>329</v>
      </c>
      <c r="D94" s="7" t="s">
        <v>486</v>
      </c>
      <c r="E94" s="7" t="s">
        <v>724</v>
      </c>
      <c r="F94" s="7" t="s">
        <v>843</v>
      </c>
      <c r="G94" s="7"/>
    </row>
    <row r="95" customFormat="false" ht="15" hidden="false" customHeight="false" outlineLevel="0" collapsed="false">
      <c r="A95" s="7" t="s">
        <v>621</v>
      </c>
      <c r="B95" s="7" t="s">
        <v>705</v>
      </c>
      <c r="C95" s="7" t="s">
        <v>329</v>
      </c>
      <c r="D95" s="7" t="s">
        <v>486</v>
      </c>
      <c r="E95" s="7" t="s">
        <v>896</v>
      </c>
      <c r="F95" s="7" t="s">
        <v>843</v>
      </c>
      <c r="G95" s="7"/>
    </row>
    <row r="96" customFormat="false" ht="15" hidden="false" customHeight="false" outlineLevel="0" collapsed="false">
      <c r="A96" s="7" t="s">
        <v>621</v>
      </c>
      <c r="B96" s="7" t="s">
        <v>893</v>
      </c>
      <c r="C96" s="7" t="s">
        <v>281</v>
      </c>
      <c r="D96" s="7" t="s">
        <v>842</v>
      </c>
      <c r="E96" s="7" t="s">
        <v>281</v>
      </c>
      <c r="F96" s="7" t="s">
        <v>843</v>
      </c>
      <c r="G96" s="7"/>
    </row>
    <row r="97" customFormat="false" ht="15" hidden="false" customHeight="false" outlineLevel="0" collapsed="false">
      <c r="A97" s="7" t="s">
        <v>621</v>
      </c>
      <c r="B97" s="7" t="s">
        <v>894</v>
      </c>
      <c r="C97" s="7" t="s">
        <v>333</v>
      </c>
      <c r="D97" s="7" t="s">
        <v>842</v>
      </c>
      <c r="E97" s="7" t="s">
        <v>333</v>
      </c>
      <c r="F97" s="7" t="s">
        <v>843</v>
      </c>
      <c r="G97" s="7"/>
    </row>
    <row r="98" customFormat="false" ht="15" hidden="false" customHeight="false" outlineLevel="0" collapsed="false">
      <c r="A98" s="7" t="s">
        <v>621</v>
      </c>
      <c r="B98" s="7" t="s">
        <v>649</v>
      </c>
      <c r="C98" s="7" t="s">
        <v>221</v>
      </c>
      <c r="D98" s="7" t="s">
        <v>842</v>
      </c>
      <c r="E98" s="7" t="s">
        <v>221</v>
      </c>
      <c r="F98" s="7" t="s">
        <v>843</v>
      </c>
      <c r="G98" s="7"/>
    </row>
    <row r="99" customFormat="false" ht="15" hidden="false" customHeight="false" outlineLevel="0" collapsed="false">
      <c r="A99" s="7" t="s">
        <v>621</v>
      </c>
      <c r="B99" s="7" t="s">
        <v>649</v>
      </c>
      <c r="C99" s="7" t="s">
        <v>221</v>
      </c>
      <c r="D99" s="7" t="s">
        <v>466</v>
      </c>
      <c r="E99" s="7" t="s">
        <v>661</v>
      </c>
      <c r="F99" s="7" t="s">
        <v>843</v>
      </c>
      <c r="G99" s="7"/>
    </row>
    <row r="100" customFormat="false" ht="15" hidden="false" customHeight="false" outlineLevel="0" collapsed="false">
      <c r="A100" s="7" t="s">
        <v>621</v>
      </c>
      <c r="B100" s="7" t="s">
        <v>896</v>
      </c>
      <c r="C100" s="7" t="s">
        <v>79</v>
      </c>
      <c r="D100" s="7" t="s">
        <v>842</v>
      </c>
      <c r="E100" s="7" t="s">
        <v>79</v>
      </c>
      <c r="F100" s="7" t="s">
        <v>843</v>
      </c>
      <c r="G100" s="7"/>
    </row>
    <row r="101" customFormat="false" ht="15" hidden="false" customHeight="false" outlineLevel="0" collapsed="false">
      <c r="A101" s="7" t="s">
        <v>621</v>
      </c>
      <c r="B101" s="7" t="s">
        <v>896</v>
      </c>
      <c r="C101" s="7" t="s">
        <v>79</v>
      </c>
      <c r="D101" s="7" t="s">
        <v>388</v>
      </c>
      <c r="E101" s="7" t="n">
        <v>1</v>
      </c>
      <c r="F101" s="7" t="s">
        <v>847</v>
      </c>
      <c r="G101" s="7"/>
    </row>
    <row r="102" customFormat="false" ht="15" hidden="false" customHeight="false" outlineLevel="0" collapsed="false">
      <c r="A102" s="7" t="s">
        <v>621</v>
      </c>
      <c r="B102" s="7" t="s">
        <v>625</v>
      </c>
      <c r="C102" s="7" t="s">
        <v>69</v>
      </c>
      <c r="D102" s="7" t="s">
        <v>842</v>
      </c>
      <c r="E102" s="7" t="s">
        <v>69</v>
      </c>
      <c r="F102" s="7" t="s">
        <v>843</v>
      </c>
      <c r="G102" s="7"/>
    </row>
    <row r="103" customFormat="false" ht="15" hidden="false" customHeight="false" outlineLevel="0" collapsed="false">
      <c r="A103" s="7" t="s">
        <v>621</v>
      </c>
      <c r="B103" s="7" t="s">
        <v>625</v>
      </c>
      <c r="C103" s="7" t="s">
        <v>69</v>
      </c>
      <c r="D103" s="7" t="s">
        <v>454</v>
      </c>
      <c r="E103" s="7" t="s">
        <v>897</v>
      </c>
      <c r="F103" s="7" t="s">
        <v>843</v>
      </c>
      <c r="G103" s="7"/>
    </row>
    <row r="104" customFormat="false" ht="15" hidden="false" customHeight="false" outlineLevel="0" collapsed="false">
      <c r="A104" s="7" t="s">
        <v>621</v>
      </c>
      <c r="B104" s="7" t="s">
        <v>898</v>
      </c>
      <c r="C104" s="7" t="s">
        <v>273</v>
      </c>
      <c r="D104" s="7" t="s">
        <v>842</v>
      </c>
      <c r="E104" s="7" t="s">
        <v>273</v>
      </c>
      <c r="F104" s="7" t="s">
        <v>843</v>
      </c>
      <c r="G104" s="7"/>
    </row>
    <row r="105" customFormat="false" ht="15" hidden="false" customHeight="false" outlineLevel="0" collapsed="false">
      <c r="A105" s="7" t="s">
        <v>621</v>
      </c>
      <c r="B105" s="7" t="s">
        <v>898</v>
      </c>
      <c r="C105" s="7" t="s">
        <v>273</v>
      </c>
      <c r="D105" s="7" t="s">
        <v>608</v>
      </c>
      <c r="E105" s="7" t="n">
        <v>1</v>
      </c>
      <c r="F105" s="7" t="s">
        <v>847</v>
      </c>
      <c r="G105" s="7"/>
    </row>
    <row r="106" customFormat="false" ht="15" hidden="false" customHeight="false" outlineLevel="0" collapsed="false">
      <c r="A106" s="7" t="s">
        <v>621</v>
      </c>
      <c r="B106" s="7" t="s">
        <v>625</v>
      </c>
      <c r="C106" s="7" t="s">
        <v>69</v>
      </c>
      <c r="D106" s="7" t="s">
        <v>468</v>
      </c>
      <c r="E106" s="7" t="s">
        <v>898</v>
      </c>
      <c r="F106" s="7" t="s">
        <v>843</v>
      </c>
      <c r="G106" s="7"/>
    </row>
    <row r="107" customFormat="false" ht="15" hidden="false" customHeight="false" outlineLevel="0" collapsed="false">
      <c r="A107" s="7" t="s">
        <v>621</v>
      </c>
      <c r="B107" s="7" t="s">
        <v>899</v>
      </c>
      <c r="C107" s="7" t="s">
        <v>75</v>
      </c>
      <c r="D107" s="7" t="s">
        <v>842</v>
      </c>
      <c r="E107" s="7" t="s">
        <v>75</v>
      </c>
      <c r="F107" s="7" t="s">
        <v>843</v>
      </c>
      <c r="G107" s="7"/>
    </row>
    <row r="108" customFormat="false" ht="15" hidden="false" customHeight="false" outlineLevel="0" collapsed="false">
      <c r="A108" s="7" t="s">
        <v>621</v>
      </c>
      <c r="B108" s="7" t="s">
        <v>899</v>
      </c>
      <c r="C108" s="7" t="s">
        <v>75</v>
      </c>
      <c r="D108" s="7" t="s">
        <v>608</v>
      </c>
      <c r="E108" s="7" t="n">
        <v>2</v>
      </c>
      <c r="F108" s="7" t="s">
        <v>847</v>
      </c>
      <c r="G108" s="7"/>
    </row>
    <row r="109" customFormat="false" ht="15" hidden="false" customHeight="false" outlineLevel="0" collapsed="false">
      <c r="A109" s="7" t="s">
        <v>621</v>
      </c>
      <c r="B109" s="7" t="s">
        <v>625</v>
      </c>
      <c r="C109" s="7" t="s">
        <v>69</v>
      </c>
      <c r="D109" s="7" t="s">
        <v>468</v>
      </c>
      <c r="E109" s="7" t="s">
        <v>899</v>
      </c>
      <c r="F109" s="7" t="s">
        <v>843</v>
      </c>
      <c r="G109" s="7"/>
    </row>
    <row r="110" customFormat="false" ht="15" hidden="false" customHeight="false" outlineLevel="0" collapsed="false">
      <c r="A110" s="7" t="s">
        <v>621</v>
      </c>
      <c r="B110" s="7" t="s">
        <v>900</v>
      </c>
      <c r="C110" s="7" t="s">
        <v>185</v>
      </c>
      <c r="D110" s="7" t="s">
        <v>842</v>
      </c>
      <c r="E110" s="7" t="s">
        <v>185</v>
      </c>
      <c r="F110" s="7" t="s">
        <v>843</v>
      </c>
      <c r="G110" s="7"/>
    </row>
    <row r="111" customFormat="false" ht="15" hidden="false" customHeight="false" outlineLevel="0" collapsed="false">
      <c r="A111" s="7" t="s">
        <v>621</v>
      </c>
      <c r="B111" s="7" t="s">
        <v>900</v>
      </c>
      <c r="C111" s="7" t="s">
        <v>185</v>
      </c>
      <c r="D111" s="7" t="s">
        <v>608</v>
      </c>
      <c r="E111" s="7" t="n">
        <v>3</v>
      </c>
      <c r="F111" s="7" t="s">
        <v>847</v>
      </c>
      <c r="G111" s="7"/>
    </row>
    <row r="112" customFormat="false" ht="15" hidden="false" customHeight="false" outlineLevel="0" collapsed="false">
      <c r="A112" s="7" t="s">
        <v>621</v>
      </c>
      <c r="B112" s="7" t="s">
        <v>625</v>
      </c>
      <c r="C112" s="7" t="s">
        <v>69</v>
      </c>
      <c r="D112" s="7" t="s">
        <v>468</v>
      </c>
      <c r="E112" s="7" t="s">
        <v>900</v>
      </c>
      <c r="F112" s="7" t="s">
        <v>843</v>
      </c>
      <c r="G112" s="7"/>
    </row>
    <row r="113" customFormat="false" ht="15" hidden="false" customHeight="false" outlineLevel="0" collapsed="false">
      <c r="A113" s="7" t="s">
        <v>621</v>
      </c>
      <c r="B113" s="7" t="s">
        <v>901</v>
      </c>
      <c r="C113" s="7" t="s">
        <v>277</v>
      </c>
      <c r="D113" s="7" t="s">
        <v>842</v>
      </c>
      <c r="E113" s="7" t="s">
        <v>277</v>
      </c>
      <c r="F113" s="7" t="s">
        <v>843</v>
      </c>
      <c r="G113" s="7"/>
    </row>
    <row r="114" customFormat="false" ht="15" hidden="false" customHeight="false" outlineLevel="0" collapsed="false">
      <c r="A114" s="7" t="s">
        <v>621</v>
      </c>
      <c r="B114" s="7" t="s">
        <v>901</v>
      </c>
      <c r="C114" s="7" t="s">
        <v>277</v>
      </c>
      <c r="D114" s="7" t="s">
        <v>608</v>
      </c>
      <c r="E114" s="7" t="n">
        <v>4</v>
      </c>
      <c r="F114" s="7" t="s">
        <v>847</v>
      </c>
      <c r="G114" s="7"/>
    </row>
    <row r="115" customFormat="false" ht="15" hidden="false" customHeight="false" outlineLevel="0" collapsed="false">
      <c r="A115" s="7" t="s">
        <v>621</v>
      </c>
      <c r="B115" s="7" t="s">
        <v>625</v>
      </c>
      <c r="C115" s="7" t="s">
        <v>69</v>
      </c>
      <c r="D115" s="7" t="s">
        <v>468</v>
      </c>
      <c r="E115" s="7" t="s">
        <v>901</v>
      </c>
      <c r="F115" s="7" t="s">
        <v>843</v>
      </c>
      <c r="G115" s="7"/>
    </row>
    <row r="116" customFormat="false" ht="15" hidden="false" customHeight="false" outlineLevel="0" collapsed="false">
      <c r="A116" s="7" t="s">
        <v>621</v>
      </c>
      <c r="B116" s="7" t="s">
        <v>902</v>
      </c>
      <c r="C116" s="7" t="s">
        <v>143</v>
      </c>
      <c r="D116" s="7" t="s">
        <v>842</v>
      </c>
      <c r="E116" s="7" t="s">
        <v>143</v>
      </c>
      <c r="F116" s="7" t="s">
        <v>843</v>
      </c>
      <c r="G116" s="7"/>
    </row>
    <row r="117" customFormat="false" ht="15" hidden="false" customHeight="false" outlineLevel="0" collapsed="false">
      <c r="A117" s="7" t="s">
        <v>621</v>
      </c>
      <c r="B117" s="7" t="s">
        <v>902</v>
      </c>
      <c r="C117" s="7" t="s">
        <v>143</v>
      </c>
      <c r="D117" s="7" t="s">
        <v>608</v>
      </c>
      <c r="E117" s="7" t="n">
        <v>5</v>
      </c>
      <c r="F117" s="7" t="s">
        <v>847</v>
      </c>
      <c r="G117" s="7"/>
    </row>
    <row r="118" customFormat="false" ht="15" hidden="false" customHeight="false" outlineLevel="0" collapsed="false">
      <c r="A118" s="7" t="s">
        <v>621</v>
      </c>
      <c r="B118" s="7" t="s">
        <v>625</v>
      </c>
      <c r="C118" s="7" t="s">
        <v>69</v>
      </c>
      <c r="D118" s="7" t="s">
        <v>468</v>
      </c>
      <c r="E118" s="7" t="s">
        <v>902</v>
      </c>
      <c r="F118" s="7" t="s">
        <v>843</v>
      </c>
      <c r="G118" s="7"/>
    </row>
    <row r="119" customFormat="false" ht="15" hidden="false" customHeight="false" outlineLevel="0" collapsed="false">
      <c r="A119" s="7" t="s">
        <v>621</v>
      </c>
      <c r="B119" s="7" t="s">
        <v>903</v>
      </c>
      <c r="C119" s="7" t="s">
        <v>197</v>
      </c>
      <c r="D119" s="7" t="s">
        <v>842</v>
      </c>
      <c r="E119" s="7" t="s">
        <v>197</v>
      </c>
      <c r="F119" s="7" t="s">
        <v>843</v>
      </c>
      <c r="G119" s="7"/>
    </row>
    <row r="120" customFormat="false" ht="15" hidden="false" customHeight="false" outlineLevel="0" collapsed="false">
      <c r="A120" s="7" t="s">
        <v>621</v>
      </c>
      <c r="B120" s="7" t="s">
        <v>903</v>
      </c>
      <c r="C120" s="7" t="s">
        <v>197</v>
      </c>
      <c r="D120" s="7" t="s">
        <v>608</v>
      </c>
      <c r="E120" s="7" t="n">
        <v>6</v>
      </c>
      <c r="F120" s="7" t="s">
        <v>847</v>
      </c>
      <c r="G120" s="7"/>
    </row>
    <row r="121" customFormat="false" ht="15" hidden="false" customHeight="false" outlineLevel="0" collapsed="false">
      <c r="A121" s="7" t="s">
        <v>621</v>
      </c>
      <c r="B121" s="7" t="s">
        <v>625</v>
      </c>
      <c r="C121" s="7" t="s">
        <v>69</v>
      </c>
      <c r="D121" s="7" t="s">
        <v>468</v>
      </c>
      <c r="E121" s="7" t="s">
        <v>903</v>
      </c>
      <c r="F121" s="7" t="s">
        <v>843</v>
      </c>
      <c r="G121" s="7"/>
    </row>
    <row r="122" customFormat="false" ht="15" hidden="false" customHeight="false" outlineLevel="0" collapsed="false">
      <c r="A122" s="7" t="s">
        <v>621</v>
      </c>
      <c r="B122" s="7" t="s">
        <v>897</v>
      </c>
      <c r="C122" s="7" t="s">
        <v>209</v>
      </c>
      <c r="D122" s="7" t="s">
        <v>842</v>
      </c>
      <c r="E122" s="7" t="s">
        <v>209</v>
      </c>
      <c r="F122" s="7" t="s">
        <v>843</v>
      </c>
      <c r="G122" s="7"/>
    </row>
    <row r="123" customFormat="false" ht="15" hidden="false" customHeight="false" outlineLevel="0" collapsed="false">
      <c r="A123" s="7" t="s">
        <v>621</v>
      </c>
      <c r="B123" s="7" t="s">
        <v>904</v>
      </c>
      <c r="C123" s="7" t="s">
        <v>177</v>
      </c>
      <c r="D123" s="7" t="s">
        <v>842</v>
      </c>
      <c r="E123" s="7" t="s">
        <v>177</v>
      </c>
      <c r="F123" s="7" t="s">
        <v>843</v>
      </c>
      <c r="G123" s="7"/>
    </row>
    <row r="124" customFormat="false" ht="15" hidden="false" customHeight="false" outlineLevel="0" collapsed="false">
      <c r="A124" s="7" t="s">
        <v>621</v>
      </c>
      <c r="B124" s="7" t="s">
        <v>661</v>
      </c>
      <c r="C124" s="7" t="s">
        <v>227</v>
      </c>
      <c r="D124" s="7" t="s">
        <v>842</v>
      </c>
      <c r="E124" s="7" t="s">
        <v>227</v>
      </c>
      <c r="F124" s="7" t="s">
        <v>843</v>
      </c>
      <c r="G124" s="7"/>
    </row>
    <row r="125" customFormat="false" ht="15" hidden="false" customHeight="false" outlineLevel="0" collapsed="false">
      <c r="A125" s="7" t="s">
        <v>621</v>
      </c>
      <c r="B125" s="7" t="s">
        <v>661</v>
      </c>
      <c r="C125" s="7" t="s">
        <v>227</v>
      </c>
      <c r="D125" s="7" t="s">
        <v>520</v>
      </c>
      <c r="E125" s="7" t="s">
        <v>905</v>
      </c>
      <c r="F125" s="7" t="s">
        <v>846</v>
      </c>
      <c r="G125" s="7"/>
    </row>
    <row r="126" customFormat="false" ht="15" hidden="false" customHeight="false" outlineLevel="0" collapsed="false">
      <c r="A126" s="7" t="s">
        <v>621</v>
      </c>
      <c r="B126" s="7" t="s">
        <v>661</v>
      </c>
      <c r="C126" s="7" t="s">
        <v>227</v>
      </c>
      <c r="D126" s="7" t="s">
        <v>514</v>
      </c>
      <c r="E126" s="7" t="n">
        <v>57</v>
      </c>
      <c r="F126" s="7" t="s">
        <v>853</v>
      </c>
      <c r="G126" s="7"/>
    </row>
    <row r="127" customFormat="false" ht="15" hidden="false" customHeight="false" outlineLevel="0" collapsed="false">
      <c r="A127" s="7" t="s">
        <v>621</v>
      </c>
      <c r="B127" s="7" t="s">
        <v>661</v>
      </c>
      <c r="C127" s="7" t="s">
        <v>227</v>
      </c>
      <c r="D127" s="7" t="s">
        <v>512</v>
      </c>
      <c r="E127" s="7" t="n">
        <v>2.25</v>
      </c>
      <c r="F127" s="7" t="s">
        <v>853</v>
      </c>
      <c r="G127" s="7"/>
    </row>
    <row r="128" customFormat="false" ht="15" hidden="false" customHeight="false" outlineLevel="0" collapsed="false">
      <c r="A128" s="7" t="s">
        <v>621</v>
      </c>
      <c r="B128" s="7" t="s">
        <v>661</v>
      </c>
      <c r="C128" s="7" t="s">
        <v>227</v>
      </c>
      <c r="D128" s="7" t="s">
        <v>518</v>
      </c>
      <c r="E128" s="7" t="n">
        <v>1200</v>
      </c>
      <c r="F128" s="7" t="s">
        <v>847</v>
      </c>
      <c r="G128" s="7"/>
    </row>
    <row r="129" customFormat="false" ht="15" hidden="false" customHeight="false" outlineLevel="0" collapsed="false">
      <c r="A129" s="7" t="s">
        <v>621</v>
      </c>
      <c r="B129" s="7" t="s">
        <v>661</v>
      </c>
      <c r="C129" s="7" t="s">
        <v>227</v>
      </c>
      <c r="D129" s="7" t="s">
        <v>516</v>
      </c>
      <c r="E129" s="7" t="n">
        <v>3000</v>
      </c>
      <c r="F129" s="7" t="s">
        <v>853</v>
      </c>
      <c r="G129" s="7"/>
    </row>
    <row r="130" customFormat="false" ht="15" hidden="false" customHeight="false" outlineLevel="0" collapsed="false">
      <c r="A130" s="7" t="s">
        <v>621</v>
      </c>
      <c r="B130" s="7" t="s">
        <v>661</v>
      </c>
      <c r="C130" s="7" t="s">
        <v>227</v>
      </c>
      <c r="D130" s="7" t="s">
        <v>444</v>
      </c>
      <c r="E130" s="7" t="s">
        <v>906</v>
      </c>
      <c r="F130" s="7" t="s">
        <v>846</v>
      </c>
      <c r="G130" s="7"/>
    </row>
    <row r="131" customFormat="false" ht="15" hidden="false" customHeight="false" outlineLevel="0" collapsed="false">
      <c r="A131" s="7" t="s">
        <v>621</v>
      </c>
      <c r="B131" s="7" t="s">
        <v>661</v>
      </c>
      <c r="C131" s="7" t="s">
        <v>227</v>
      </c>
      <c r="D131" s="7" t="s">
        <v>436</v>
      </c>
      <c r="E131" s="7" t="s">
        <v>907</v>
      </c>
      <c r="F131" s="7" t="s">
        <v>843</v>
      </c>
      <c r="G131" s="7"/>
    </row>
    <row r="132" customFormat="false" ht="15" hidden="false" customHeight="false" outlineLevel="0" collapsed="false">
      <c r="A132" s="7" t="s">
        <v>621</v>
      </c>
      <c r="B132" s="7" t="s">
        <v>661</v>
      </c>
      <c r="C132" s="7" t="s">
        <v>227</v>
      </c>
      <c r="D132" s="7" t="s">
        <v>494</v>
      </c>
      <c r="E132" s="7" t="s">
        <v>649</v>
      </c>
      <c r="F132" s="7" t="s">
        <v>843</v>
      </c>
      <c r="G132" s="7"/>
    </row>
    <row r="133" customFormat="false" ht="15" hidden="false" customHeight="false" outlineLevel="0" collapsed="false">
      <c r="A133" s="7" t="s">
        <v>621</v>
      </c>
      <c r="B133" s="7" t="s">
        <v>907</v>
      </c>
      <c r="C133" s="7" t="s">
        <v>95</v>
      </c>
      <c r="D133" s="7" t="s">
        <v>842</v>
      </c>
      <c r="E133" s="7" t="s">
        <v>95</v>
      </c>
      <c r="F133" s="7" t="s">
        <v>843</v>
      </c>
      <c r="G133" s="7"/>
    </row>
    <row r="134" customFormat="false" ht="15" hidden="false" customHeight="false" outlineLevel="0" collapsed="false">
      <c r="A134" s="7" t="s">
        <v>621</v>
      </c>
      <c r="B134" s="7" t="s">
        <v>907</v>
      </c>
      <c r="C134" s="7" t="s">
        <v>95</v>
      </c>
      <c r="D134" s="7" t="s">
        <v>416</v>
      </c>
      <c r="E134" s="7" t="n">
        <v>0.76</v>
      </c>
      <c r="F134" s="7" t="s">
        <v>853</v>
      </c>
      <c r="G134" s="7"/>
    </row>
    <row r="135" customFormat="false" ht="15" hidden="false" customHeight="false" outlineLevel="0" collapsed="false">
      <c r="A135" s="7" t="s">
        <v>621</v>
      </c>
      <c r="B135" s="7" t="s">
        <v>907</v>
      </c>
      <c r="C135" s="7" t="s">
        <v>95</v>
      </c>
      <c r="D135" s="7" t="s">
        <v>418</v>
      </c>
      <c r="E135" s="7" t="n">
        <v>0.5</v>
      </c>
      <c r="F135" s="7" t="s">
        <v>853</v>
      </c>
      <c r="G135" s="7"/>
    </row>
    <row r="136" customFormat="false" ht="15" hidden="false" customHeight="false" outlineLevel="0" collapsed="false">
      <c r="A136" s="7" t="s">
        <v>621</v>
      </c>
      <c r="B136" s="7" t="s">
        <v>662</v>
      </c>
      <c r="C136" s="7" t="s">
        <v>97</v>
      </c>
      <c r="D136" s="7" t="s">
        <v>842</v>
      </c>
      <c r="E136" s="7" t="s">
        <v>97</v>
      </c>
      <c r="F136" s="7" t="s">
        <v>843</v>
      </c>
      <c r="G136" s="7"/>
    </row>
    <row r="137" customFormat="false" ht="15" hidden="false" customHeight="false" outlineLevel="0" collapsed="false">
      <c r="A137" s="7" t="s">
        <v>621</v>
      </c>
      <c r="B137" s="7" t="s">
        <v>662</v>
      </c>
      <c r="C137" s="7" t="s">
        <v>97</v>
      </c>
      <c r="D137" s="7" t="s">
        <v>396</v>
      </c>
      <c r="E137" s="7" t="s">
        <v>661</v>
      </c>
      <c r="F137" s="7" t="s">
        <v>843</v>
      </c>
      <c r="G137" s="7"/>
    </row>
    <row r="138" customFormat="false" ht="15" hidden="false" customHeight="false" outlineLevel="0" collapsed="false">
      <c r="A138" s="7" t="s">
        <v>621</v>
      </c>
      <c r="B138" s="7" t="s">
        <v>662</v>
      </c>
      <c r="C138" s="7" t="s">
        <v>97</v>
      </c>
      <c r="D138" s="7" t="s">
        <v>428</v>
      </c>
      <c r="E138" s="7" t="s">
        <v>908</v>
      </c>
      <c r="F138" s="7" t="s">
        <v>843</v>
      </c>
      <c r="G138" s="7"/>
    </row>
    <row r="139" customFormat="false" ht="15" hidden="false" customHeight="false" outlineLevel="0" collapsed="false">
      <c r="A139" s="7" t="s">
        <v>621</v>
      </c>
      <c r="B139" s="7" t="s">
        <v>662</v>
      </c>
      <c r="C139" s="7" t="s">
        <v>97</v>
      </c>
      <c r="D139" s="7" t="s">
        <v>394</v>
      </c>
      <c r="E139" s="7" t="s">
        <v>909</v>
      </c>
      <c r="F139" s="7" t="s">
        <v>846</v>
      </c>
      <c r="G139" s="7"/>
    </row>
    <row r="140" customFormat="false" ht="15" hidden="false" customHeight="false" outlineLevel="0" collapsed="false">
      <c r="A140" s="7" t="s">
        <v>621</v>
      </c>
      <c r="B140" s="7" t="s">
        <v>908</v>
      </c>
      <c r="C140" s="7" t="s">
        <v>99</v>
      </c>
      <c r="D140" s="7" t="s">
        <v>842</v>
      </c>
      <c r="E140" s="7" t="s">
        <v>99</v>
      </c>
      <c r="F140" s="7" t="s">
        <v>843</v>
      </c>
      <c r="G140" s="7"/>
    </row>
    <row r="141" customFormat="false" ht="15" hidden="false" customHeight="false" outlineLevel="0" collapsed="false">
      <c r="A141" s="7" t="s">
        <v>621</v>
      </c>
      <c r="B141" s="7" t="s">
        <v>908</v>
      </c>
      <c r="C141" s="7" t="s">
        <v>99</v>
      </c>
      <c r="D141" s="7" t="s">
        <v>404</v>
      </c>
      <c r="E141" s="7" t="s">
        <v>910</v>
      </c>
      <c r="F141" s="7" t="s">
        <v>846</v>
      </c>
      <c r="G141" s="7"/>
    </row>
    <row r="142" customFormat="false" ht="15" hidden="false" customHeight="false" outlineLevel="0" collapsed="false">
      <c r="A142" s="7" t="s">
        <v>621</v>
      </c>
      <c r="B142" s="7" t="s">
        <v>895</v>
      </c>
      <c r="C142" s="7" t="s">
        <v>103</v>
      </c>
      <c r="D142" s="7" t="s">
        <v>842</v>
      </c>
      <c r="E142" s="7" t="s">
        <v>103</v>
      </c>
      <c r="F142" s="7" t="s">
        <v>843</v>
      </c>
      <c r="G142" s="7"/>
    </row>
    <row r="143" customFormat="false" ht="15" hidden="false" customHeight="false" outlineLevel="0" collapsed="false">
      <c r="A143" s="7" t="s">
        <v>621</v>
      </c>
      <c r="B143" s="7" t="s">
        <v>911</v>
      </c>
      <c r="C143" s="7" t="s">
        <v>101</v>
      </c>
      <c r="D143" s="7" t="s">
        <v>842</v>
      </c>
      <c r="E143" s="7" t="s">
        <v>101</v>
      </c>
      <c r="F143" s="7" t="s">
        <v>843</v>
      </c>
      <c r="G143" s="7"/>
    </row>
    <row r="144" customFormat="false" ht="15" hidden="false" customHeight="false" outlineLevel="0" collapsed="false">
      <c r="A144" s="7" t="s">
        <v>621</v>
      </c>
      <c r="B144" s="7" t="s">
        <v>724</v>
      </c>
      <c r="C144" s="7" t="s">
        <v>313</v>
      </c>
      <c r="D144" s="7" t="s">
        <v>842</v>
      </c>
      <c r="E144" s="7" t="s">
        <v>313</v>
      </c>
      <c r="F144" s="7" t="s">
        <v>843</v>
      </c>
      <c r="G144" s="7"/>
    </row>
    <row r="145" customFormat="false" ht="15" hidden="false" customHeight="false" outlineLevel="0" collapsed="false">
      <c r="A145" s="7" t="s">
        <v>621</v>
      </c>
      <c r="B145" s="7" t="s">
        <v>723</v>
      </c>
      <c r="C145" s="7" t="s">
        <v>297</v>
      </c>
      <c r="D145" s="7" t="s">
        <v>842</v>
      </c>
      <c r="E145" s="7" t="s">
        <v>297</v>
      </c>
      <c r="F145" s="7" t="s">
        <v>843</v>
      </c>
      <c r="G145" s="7"/>
    </row>
    <row r="146" customFormat="false" ht="15" hidden="false" customHeight="false" outlineLevel="0" collapsed="false">
      <c r="A146" s="7" t="s">
        <v>621</v>
      </c>
      <c r="B146" s="7" t="s">
        <v>723</v>
      </c>
      <c r="C146" s="7" t="s">
        <v>297</v>
      </c>
      <c r="D146" s="7" t="s">
        <v>556</v>
      </c>
      <c r="E146" s="7" t="s">
        <v>912</v>
      </c>
      <c r="F146" s="7" t="s">
        <v>846</v>
      </c>
      <c r="G146" s="7"/>
    </row>
    <row r="147" customFormat="false" ht="15" hidden="false" customHeight="false" outlineLevel="0" collapsed="false">
      <c r="A147" s="7" t="s">
        <v>621</v>
      </c>
      <c r="B147" s="7" t="s">
        <v>723</v>
      </c>
      <c r="C147" s="7" t="s">
        <v>297</v>
      </c>
      <c r="D147" s="7" t="s">
        <v>552</v>
      </c>
      <c r="E147" s="7" t="s">
        <v>913</v>
      </c>
      <c r="F147" s="7" t="s">
        <v>846</v>
      </c>
      <c r="G147" s="7"/>
    </row>
    <row r="148" customFormat="false" ht="15" hidden="false" customHeight="false" outlineLevel="0" collapsed="false">
      <c r="A148" s="7" t="s">
        <v>621</v>
      </c>
      <c r="B148" s="7" t="s">
        <v>723</v>
      </c>
      <c r="C148" s="7" t="s">
        <v>297</v>
      </c>
      <c r="D148" s="7" t="s">
        <v>554</v>
      </c>
      <c r="E148" s="7" t="n">
        <v>0.5</v>
      </c>
      <c r="F148" s="7" t="s">
        <v>853</v>
      </c>
      <c r="G148" s="7"/>
    </row>
    <row r="149" customFormat="false" ht="15" hidden="false" customHeight="false" outlineLevel="0" collapsed="false">
      <c r="A149" s="7" t="s">
        <v>621</v>
      </c>
      <c r="B149" s="7" t="s">
        <v>723</v>
      </c>
      <c r="C149" s="7" t="s">
        <v>297</v>
      </c>
      <c r="D149" s="7" t="s">
        <v>424</v>
      </c>
      <c r="E149" s="7" t="s">
        <v>914</v>
      </c>
      <c r="F149" s="7" t="s">
        <v>843</v>
      </c>
      <c r="G149" s="7"/>
    </row>
    <row r="150" customFormat="false" ht="15" hidden="false" customHeight="false" outlineLevel="0" collapsed="false">
      <c r="A150" s="7" t="s">
        <v>621</v>
      </c>
      <c r="B150" s="7" t="s">
        <v>723</v>
      </c>
      <c r="C150" s="7" t="s">
        <v>297</v>
      </c>
      <c r="D150" s="7" t="s">
        <v>420</v>
      </c>
      <c r="E150" s="7" t="s">
        <v>915</v>
      </c>
      <c r="F150" s="7" t="s">
        <v>843</v>
      </c>
      <c r="G150" s="7"/>
    </row>
    <row r="151" customFormat="false" ht="15" hidden="false" customHeight="false" outlineLevel="0" collapsed="false">
      <c r="A151" s="7" t="s">
        <v>621</v>
      </c>
      <c r="B151" s="7" t="s">
        <v>723</v>
      </c>
      <c r="C151" s="7" t="s">
        <v>297</v>
      </c>
      <c r="D151" s="7" t="s">
        <v>422</v>
      </c>
      <c r="E151" s="7" t="s">
        <v>916</v>
      </c>
      <c r="F151" s="7" t="s">
        <v>843</v>
      </c>
      <c r="G151" s="7"/>
    </row>
    <row r="152" customFormat="false" ht="15" hidden="false" customHeight="false" outlineLevel="0" collapsed="false">
      <c r="A152" s="7" t="s">
        <v>621</v>
      </c>
      <c r="B152" s="7" t="s">
        <v>723</v>
      </c>
      <c r="C152" s="7" t="s">
        <v>297</v>
      </c>
      <c r="D152" s="7" t="s">
        <v>422</v>
      </c>
      <c r="E152" s="7" t="s">
        <v>917</v>
      </c>
      <c r="F152" s="7" t="s">
        <v>843</v>
      </c>
      <c r="G152" s="7"/>
    </row>
    <row r="153" customFormat="false" ht="15" hidden="false" customHeight="false" outlineLevel="0" collapsed="false">
      <c r="A153" s="7" t="s">
        <v>621</v>
      </c>
      <c r="B153" s="7" t="s">
        <v>723</v>
      </c>
      <c r="C153" s="7" t="s">
        <v>297</v>
      </c>
      <c r="D153" s="7" t="s">
        <v>492</v>
      </c>
      <c r="E153" s="7" t="s">
        <v>724</v>
      </c>
      <c r="F153" s="7" t="s">
        <v>843</v>
      </c>
      <c r="G153" s="7"/>
    </row>
    <row r="154" customFormat="false" ht="15" hidden="false" customHeight="false" outlineLevel="0" collapsed="false">
      <c r="A154" s="7" t="s">
        <v>621</v>
      </c>
      <c r="B154" s="7" t="s">
        <v>723</v>
      </c>
      <c r="C154" s="7" t="s">
        <v>297</v>
      </c>
      <c r="D154" s="7" t="s">
        <v>444</v>
      </c>
      <c r="E154" s="7" t="s">
        <v>918</v>
      </c>
      <c r="F154" s="7" t="s">
        <v>846</v>
      </c>
      <c r="G154" s="7"/>
    </row>
    <row r="155" customFormat="false" ht="15" hidden="false" customHeight="false" outlineLevel="0" collapsed="false">
      <c r="A155" s="7" t="s">
        <v>621</v>
      </c>
      <c r="B155" s="7" t="s">
        <v>914</v>
      </c>
      <c r="C155" s="7" t="s">
        <v>299</v>
      </c>
      <c r="D155" s="7" t="s">
        <v>842</v>
      </c>
      <c r="E155" s="7" t="s">
        <v>299</v>
      </c>
      <c r="F155" s="7" t="s">
        <v>843</v>
      </c>
      <c r="G155" s="7"/>
    </row>
    <row r="156" customFormat="false" ht="15" hidden="false" customHeight="false" outlineLevel="0" collapsed="false">
      <c r="A156" s="7" t="s">
        <v>621</v>
      </c>
      <c r="B156" s="7" t="s">
        <v>915</v>
      </c>
      <c r="C156" s="7" t="s">
        <v>295</v>
      </c>
      <c r="D156" s="7" t="s">
        <v>842</v>
      </c>
      <c r="E156" s="7" t="s">
        <v>295</v>
      </c>
      <c r="F156" s="7" t="s">
        <v>843</v>
      </c>
      <c r="G156" s="7"/>
    </row>
    <row r="157" customFormat="false" ht="15" hidden="false" customHeight="false" outlineLevel="0" collapsed="false">
      <c r="A157" s="7" t="s">
        <v>621</v>
      </c>
      <c r="B157" s="7" t="s">
        <v>919</v>
      </c>
      <c r="C157" s="7" t="s">
        <v>43</v>
      </c>
      <c r="D157" s="7" t="s">
        <v>842</v>
      </c>
      <c r="E157" s="7" t="s">
        <v>43</v>
      </c>
      <c r="F157" s="7" t="s">
        <v>843</v>
      </c>
      <c r="G157" s="7"/>
    </row>
    <row r="158" customFormat="false" ht="15" hidden="false" customHeight="false" outlineLevel="0" collapsed="false">
      <c r="A158" s="7" t="s">
        <v>621</v>
      </c>
      <c r="B158" s="7" t="s">
        <v>920</v>
      </c>
      <c r="C158" s="7" t="s">
        <v>77</v>
      </c>
      <c r="D158" s="7" t="s">
        <v>842</v>
      </c>
      <c r="E158" s="7" t="s">
        <v>77</v>
      </c>
      <c r="F158" s="7" t="s">
        <v>843</v>
      </c>
      <c r="G158" s="7"/>
    </row>
    <row r="159" customFormat="false" ht="15" hidden="false" customHeight="false" outlineLevel="0" collapsed="false">
      <c r="A159" s="7" t="s">
        <v>621</v>
      </c>
      <c r="B159" s="7" t="s">
        <v>916</v>
      </c>
      <c r="C159" s="7" t="s">
        <v>213</v>
      </c>
      <c r="D159" s="7" t="s">
        <v>842</v>
      </c>
      <c r="E159" s="7" t="s">
        <v>213</v>
      </c>
      <c r="F159" s="7" t="s">
        <v>843</v>
      </c>
      <c r="G159" s="7"/>
    </row>
    <row r="160" customFormat="false" ht="15" hidden="false" customHeight="false" outlineLevel="0" collapsed="false">
      <c r="A160" s="7" t="s">
        <v>621</v>
      </c>
      <c r="B160" s="7" t="s">
        <v>916</v>
      </c>
      <c r="C160" s="7" t="s">
        <v>213</v>
      </c>
      <c r="D160" s="7" t="s">
        <v>378</v>
      </c>
      <c r="E160" s="7" t="n">
        <v>1</v>
      </c>
      <c r="F160" s="7" t="s">
        <v>853</v>
      </c>
      <c r="G160" s="7"/>
    </row>
    <row r="161" customFormat="false" ht="15" hidden="false" customHeight="false" outlineLevel="0" collapsed="false">
      <c r="A161" s="7" t="s">
        <v>621</v>
      </c>
      <c r="B161" s="7" t="s">
        <v>917</v>
      </c>
      <c r="C161" s="7" t="s">
        <v>169</v>
      </c>
      <c r="D161" s="7" t="s">
        <v>842</v>
      </c>
      <c r="E161" s="7" t="s">
        <v>169</v>
      </c>
      <c r="F161" s="7" t="s">
        <v>843</v>
      </c>
      <c r="G161" s="7"/>
    </row>
    <row r="162" customFormat="false" ht="15" hidden="false" customHeight="false" outlineLevel="0" collapsed="false">
      <c r="A162" s="7" t="s">
        <v>621</v>
      </c>
      <c r="B162" s="7" t="s">
        <v>917</v>
      </c>
      <c r="C162" s="7" t="s">
        <v>169</v>
      </c>
      <c r="D162" s="7" t="s">
        <v>378</v>
      </c>
      <c r="E162" s="7" t="n">
        <v>0.01</v>
      </c>
      <c r="F162" s="7" t="s">
        <v>853</v>
      </c>
      <c r="G162" s="7"/>
    </row>
    <row r="163" customFormat="false" ht="15" hidden="false" customHeight="false" outlineLevel="0" collapsed="false">
      <c r="A163" s="7" t="s">
        <v>621</v>
      </c>
      <c r="B163" s="7" t="s">
        <v>921</v>
      </c>
      <c r="C163" s="7" t="s">
        <v>93</v>
      </c>
      <c r="D163" s="7" t="s">
        <v>842</v>
      </c>
      <c r="E163" s="7" t="s">
        <v>93</v>
      </c>
      <c r="F163" s="7" t="s">
        <v>843</v>
      </c>
      <c r="G163" s="7"/>
    </row>
    <row r="164" customFormat="false" ht="15" hidden="false" customHeight="false" outlineLevel="0" collapsed="false">
      <c r="A164" s="7" t="s">
        <v>621</v>
      </c>
      <c r="B164" s="7" t="s">
        <v>922</v>
      </c>
      <c r="C164" s="7" t="s">
        <v>325</v>
      </c>
      <c r="D164" s="7" t="s">
        <v>842</v>
      </c>
      <c r="E164" s="7" t="s">
        <v>325</v>
      </c>
      <c r="F164" s="7" t="s">
        <v>843</v>
      </c>
      <c r="G164" s="7"/>
    </row>
    <row r="165" customFormat="false" ht="15" hidden="false" customHeight="false" outlineLevel="0" collapsed="false">
      <c r="A165" s="7" t="s">
        <v>621</v>
      </c>
      <c r="B165" s="7" t="s">
        <v>923</v>
      </c>
      <c r="C165" s="7" t="s">
        <v>125</v>
      </c>
      <c r="D165" s="7" t="s">
        <v>842</v>
      </c>
      <c r="E165" s="7" t="s">
        <v>125</v>
      </c>
      <c r="F165" s="7" t="s">
        <v>843</v>
      </c>
      <c r="G165" s="7"/>
    </row>
    <row r="166" customFormat="false" ht="15" hidden="false" customHeight="false" outlineLevel="0" collapsed="false">
      <c r="A166" s="7" t="s">
        <v>621</v>
      </c>
      <c r="B166" s="7" t="s">
        <v>923</v>
      </c>
      <c r="C166" s="7" t="s">
        <v>125</v>
      </c>
      <c r="D166" s="7" t="s">
        <v>492</v>
      </c>
      <c r="E166" s="7" t="s">
        <v>724</v>
      </c>
      <c r="F166" s="7" t="s">
        <v>843</v>
      </c>
      <c r="G166" s="7"/>
    </row>
    <row r="167" customFormat="false" ht="15" hidden="false" customHeight="false" outlineLevel="0" collapsed="false">
      <c r="A167" s="7" t="s">
        <v>621</v>
      </c>
      <c r="B167" s="7" t="s">
        <v>924</v>
      </c>
      <c r="C167" s="7" t="s">
        <v>85</v>
      </c>
      <c r="D167" s="7" t="s">
        <v>842</v>
      </c>
      <c r="E167" s="7" t="s">
        <v>85</v>
      </c>
      <c r="F167" s="7" t="s">
        <v>843</v>
      </c>
      <c r="G167" s="7"/>
    </row>
    <row r="168" customFormat="false" ht="15" hidden="false" customHeight="false" outlineLevel="0" collapsed="false">
      <c r="A168" s="7" t="s">
        <v>621</v>
      </c>
      <c r="B168" s="7" t="s">
        <v>925</v>
      </c>
      <c r="C168" s="7" t="s">
        <v>193</v>
      </c>
      <c r="D168" s="7" t="s">
        <v>842</v>
      </c>
      <c r="E168" s="7" t="s">
        <v>193</v>
      </c>
      <c r="F168" s="7" t="s">
        <v>843</v>
      </c>
      <c r="G168" s="7"/>
    </row>
    <row r="169" customFormat="false" ht="15" hidden="false" customHeight="false" outlineLevel="0" collapsed="false">
      <c r="A169" s="7" t="s">
        <v>621</v>
      </c>
      <c r="B169" s="7" t="s">
        <v>925</v>
      </c>
      <c r="C169" s="7" t="s">
        <v>193</v>
      </c>
      <c r="D169" s="7" t="s">
        <v>444</v>
      </c>
      <c r="E169" s="7" t="s">
        <v>926</v>
      </c>
      <c r="F169" s="7" t="s">
        <v>846</v>
      </c>
      <c r="G169" s="7"/>
    </row>
    <row r="170" customFormat="false" ht="15" hidden="false" customHeight="false" outlineLevel="0" collapsed="false">
      <c r="A170" s="7" t="s">
        <v>621</v>
      </c>
      <c r="B170" s="7" t="s">
        <v>927</v>
      </c>
      <c r="C170" s="7" t="s">
        <v>269</v>
      </c>
      <c r="D170" s="7" t="s">
        <v>842</v>
      </c>
      <c r="E170" s="7" t="s">
        <v>269</v>
      </c>
      <c r="F170" s="7" t="s">
        <v>843</v>
      </c>
      <c r="G170" s="7"/>
    </row>
    <row r="171" customFormat="false" ht="15" hidden="false" customHeight="false" outlineLevel="0" collapsed="false">
      <c r="A171" s="7" t="s">
        <v>621</v>
      </c>
      <c r="B171" s="7" t="s">
        <v>927</v>
      </c>
      <c r="C171" s="7" t="s">
        <v>269</v>
      </c>
      <c r="D171" s="7" t="s">
        <v>444</v>
      </c>
      <c r="E171" s="7" t="s">
        <v>926</v>
      </c>
      <c r="F171" s="7" t="s">
        <v>846</v>
      </c>
      <c r="G171" s="7"/>
    </row>
    <row r="172" customFormat="false" ht="15" hidden="false" customHeight="false" outlineLevel="0" collapsed="false">
      <c r="A172" s="7" t="s">
        <v>621</v>
      </c>
      <c r="B172" s="7" t="s">
        <v>928</v>
      </c>
      <c r="C172" s="7" t="s">
        <v>51</v>
      </c>
      <c r="D172" s="7" t="s">
        <v>842</v>
      </c>
      <c r="E172" s="7" t="s">
        <v>51</v>
      </c>
      <c r="F172" s="7" t="s">
        <v>843</v>
      </c>
      <c r="G172" s="7"/>
    </row>
    <row r="173" customFormat="false" ht="15" hidden="false" customHeight="false" outlineLevel="0" collapsed="false">
      <c r="A173" s="7" t="s">
        <v>621</v>
      </c>
      <c r="B173" s="7" t="s">
        <v>928</v>
      </c>
      <c r="C173" s="7" t="s">
        <v>51</v>
      </c>
      <c r="D173" s="7" t="s">
        <v>444</v>
      </c>
      <c r="E173" s="7" t="s">
        <v>926</v>
      </c>
      <c r="F173" s="7" t="s">
        <v>846</v>
      </c>
      <c r="G173" s="7"/>
    </row>
    <row r="174" customFormat="false" ht="15" hidden="false" customHeight="false" outlineLevel="0" collapsed="false">
      <c r="A174" s="7" t="s">
        <v>621</v>
      </c>
      <c r="B174" s="7" t="s">
        <v>929</v>
      </c>
      <c r="C174" s="7" t="s">
        <v>241</v>
      </c>
      <c r="D174" s="7" t="s">
        <v>842</v>
      </c>
      <c r="E174" s="7" t="s">
        <v>241</v>
      </c>
      <c r="F174" s="7" t="s">
        <v>843</v>
      </c>
      <c r="G174" s="7"/>
    </row>
    <row r="175" customFormat="false" ht="15" hidden="false" customHeight="false" outlineLevel="0" collapsed="false">
      <c r="A175" s="7" t="s">
        <v>621</v>
      </c>
      <c r="B175" s="7" t="s">
        <v>929</v>
      </c>
      <c r="C175" s="7" t="s">
        <v>241</v>
      </c>
      <c r="D175" s="7" t="s">
        <v>444</v>
      </c>
      <c r="E175" s="7" t="s">
        <v>926</v>
      </c>
      <c r="F175" s="7" t="s">
        <v>846</v>
      </c>
      <c r="G175" s="7"/>
    </row>
    <row r="176" customFormat="false" ht="15" hidden="false" customHeight="false" outlineLevel="0" collapsed="false">
      <c r="A176" s="7" t="s">
        <v>621</v>
      </c>
      <c r="B176" s="7" t="s">
        <v>930</v>
      </c>
      <c r="C176" s="7" t="s">
        <v>343</v>
      </c>
      <c r="D176" s="7" t="s">
        <v>842</v>
      </c>
      <c r="E176" s="7" t="s">
        <v>343</v>
      </c>
      <c r="F176" s="7" t="s">
        <v>843</v>
      </c>
      <c r="G176" s="7"/>
    </row>
    <row r="177" customFormat="false" ht="15" hidden="false" customHeight="false" outlineLevel="0" collapsed="false">
      <c r="A177" s="7" t="s">
        <v>621</v>
      </c>
      <c r="B177" s="7" t="s">
        <v>930</v>
      </c>
      <c r="C177" s="7" t="s">
        <v>343</v>
      </c>
      <c r="D177" s="7" t="s">
        <v>588</v>
      </c>
      <c r="E177" s="7" t="s">
        <v>931</v>
      </c>
      <c r="F177" s="7" t="s">
        <v>846</v>
      </c>
      <c r="G177" s="7"/>
    </row>
    <row r="178" customFormat="false" ht="15" hidden="false" customHeight="false" outlineLevel="0" collapsed="false">
      <c r="A178" s="7" t="s">
        <v>621</v>
      </c>
      <c r="B178" s="7" t="s">
        <v>930</v>
      </c>
      <c r="C178" s="7" t="s">
        <v>343</v>
      </c>
      <c r="D178" s="7" t="s">
        <v>592</v>
      </c>
      <c r="E178" s="7" t="s">
        <v>932</v>
      </c>
      <c r="F178" s="7" t="s">
        <v>846</v>
      </c>
      <c r="G178" s="7"/>
    </row>
    <row r="179" customFormat="false" ht="15" hidden="false" customHeight="false" outlineLevel="0" collapsed="false">
      <c r="A179" s="7" t="s">
        <v>621</v>
      </c>
      <c r="B179" s="7" t="s">
        <v>930</v>
      </c>
      <c r="C179" s="7" t="s">
        <v>343</v>
      </c>
      <c r="D179" s="7" t="s">
        <v>590</v>
      </c>
      <c r="E179" s="7" t="n">
        <v>341.5</v>
      </c>
      <c r="F179" s="7" t="s">
        <v>853</v>
      </c>
      <c r="G179" s="7"/>
    </row>
    <row r="180" customFormat="false" ht="15" hidden="false" customHeight="false" outlineLevel="0" collapsed="false">
      <c r="A180" s="7" t="s">
        <v>621</v>
      </c>
      <c r="B180" s="7" t="s">
        <v>930</v>
      </c>
      <c r="C180" s="7" t="s">
        <v>343</v>
      </c>
      <c r="D180" s="7" t="s">
        <v>586</v>
      </c>
      <c r="E180" s="7" t="n">
        <v>122</v>
      </c>
      <c r="F180" s="7" t="s">
        <v>853</v>
      </c>
      <c r="G180" s="7"/>
    </row>
    <row r="181" customFormat="false" ht="15" hidden="false" customHeight="false" outlineLevel="0" collapsed="false">
      <c r="A181" s="7" t="s">
        <v>621</v>
      </c>
      <c r="B181" s="7" t="s">
        <v>930</v>
      </c>
      <c r="C181" s="7" t="s">
        <v>343</v>
      </c>
      <c r="D181" s="7" t="s">
        <v>576</v>
      </c>
      <c r="E181" s="7" t="s">
        <v>661</v>
      </c>
      <c r="F181" s="7" t="s">
        <v>843</v>
      </c>
      <c r="G181" s="7"/>
    </row>
    <row r="182" customFormat="false" ht="23.85" hidden="false" customHeight="false" outlineLevel="0" collapsed="false">
      <c r="A182" s="7" t="s">
        <v>621</v>
      </c>
      <c r="B182" s="7" t="s">
        <v>933</v>
      </c>
      <c r="C182" s="7" t="s">
        <v>287</v>
      </c>
      <c r="D182" s="7" t="s">
        <v>842</v>
      </c>
      <c r="E182" s="7" t="s">
        <v>287</v>
      </c>
      <c r="F182" s="7" t="s">
        <v>843</v>
      </c>
      <c r="G182" s="7" t="s">
        <v>934</v>
      </c>
    </row>
    <row r="183" customFormat="false" ht="15" hidden="false" customHeight="false" outlineLevel="0" collapsed="false">
      <c r="A183" s="7" t="s">
        <v>621</v>
      </c>
      <c r="B183" s="7" t="s">
        <v>933</v>
      </c>
      <c r="C183" s="7" t="s">
        <v>287</v>
      </c>
      <c r="D183" s="7" t="s">
        <v>582</v>
      </c>
      <c r="E183" s="7" t="n">
        <v>95</v>
      </c>
      <c r="F183" s="7" t="s">
        <v>853</v>
      </c>
      <c r="G183" s="7"/>
    </row>
    <row r="184" customFormat="false" ht="15" hidden="false" customHeight="false" outlineLevel="0" collapsed="false">
      <c r="A184" s="7" t="s">
        <v>621</v>
      </c>
      <c r="B184" s="7" t="s">
        <v>933</v>
      </c>
      <c r="C184" s="7" t="s">
        <v>287</v>
      </c>
      <c r="D184" s="7" t="s">
        <v>504</v>
      </c>
      <c r="E184" s="7" t="n">
        <v>60</v>
      </c>
      <c r="F184" s="7" t="s">
        <v>853</v>
      </c>
      <c r="G184" s="7"/>
    </row>
    <row r="185" customFormat="false" ht="15" hidden="false" customHeight="false" outlineLevel="0" collapsed="false">
      <c r="A185" s="7" t="s">
        <v>621</v>
      </c>
      <c r="B185" s="7" t="s">
        <v>933</v>
      </c>
      <c r="C185" s="7" t="s">
        <v>287</v>
      </c>
      <c r="D185" s="7" t="s">
        <v>584</v>
      </c>
      <c r="E185" s="7" t="n">
        <v>100</v>
      </c>
      <c r="F185" s="7" t="s">
        <v>853</v>
      </c>
      <c r="G185" s="7"/>
    </row>
    <row r="186" customFormat="false" ht="15" hidden="false" customHeight="false" outlineLevel="0" collapsed="false">
      <c r="A186" s="7" t="s">
        <v>621</v>
      </c>
      <c r="B186" s="7" t="s">
        <v>933</v>
      </c>
      <c r="C186" s="7" t="s">
        <v>287</v>
      </c>
      <c r="D186" s="7" t="s">
        <v>506</v>
      </c>
      <c r="E186" s="7" t="n">
        <v>55</v>
      </c>
      <c r="F186" s="7" t="s">
        <v>853</v>
      </c>
      <c r="G186" s="7"/>
    </row>
    <row r="187" customFormat="false" ht="15" hidden="false" customHeight="false" outlineLevel="0" collapsed="false">
      <c r="A187" s="7" t="s">
        <v>621</v>
      </c>
      <c r="B187" s="7" t="s">
        <v>933</v>
      </c>
      <c r="C187" s="7" t="s">
        <v>287</v>
      </c>
      <c r="D187" s="7" t="s">
        <v>558</v>
      </c>
      <c r="E187" s="7" t="n">
        <v>78</v>
      </c>
      <c r="F187" s="7" t="s">
        <v>853</v>
      </c>
      <c r="G187" s="7"/>
    </row>
    <row r="188" customFormat="false" ht="15" hidden="false" customHeight="false" outlineLevel="0" collapsed="false">
      <c r="A188" s="7" t="s">
        <v>621</v>
      </c>
      <c r="B188" s="7" t="s">
        <v>45</v>
      </c>
      <c r="C188" s="7" t="s">
        <v>935</v>
      </c>
      <c r="D188" s="7" t="s">
        <v>476</v>
      </c>
      <c r="E188" s="7" t="s">
        <v>933</v>
      </c>
      <c r="F188" s="7" t="s">
        <v>843</v>
      </c>
      <c r="G188" s="7" t="s">
        <v>936</v>
      </c>
    </row>
    <row r="189" customFormat="false" ht="15" hidden="false" customHeight="false" outlineLevel="0" collapsed="false">
      <c r="A189" s="7" t="s">
        <v>621</v>
      </c>
      <c r="B189" s="7" t="s">
        <v>937</v>
      </c>
      <c r="C189" s="7" t="s">
        <v>253</v>
      </c>
      <c r="D189" s="7" t="s">
        <v>842</v>
      </c>
      <c r="E189" s="7" t="s">
        <v>253</v>
      </c>
      <c r="F189" s="7" t="s">
        <v>843</v>
      </c>
      <c r="G189" s="7"/>
    </row>
    <row r="190" customFormat="false" ht="15" hidden="false" customHeight="false" outlineLevel="0" collapsed="false">
      <c r="A190" s="7" t="s">
        <v>621</v>
      </c>
      <c r="B190" s="7" t="s">
        <v>937</v>
      </c>
      <c r="C190" s="7" t="s">
        <v>253</v>
      </c>
      <c r="D190" s="7" t="s">
        <v>606</v>
      </c>
      <c r="E190" s="7" t="n">
        <v>3.5</v>
      </c>
      <c r="F190" s="7" t="s">
        <v>853</v>
      </c>
      <c r="G190" s="7"/>
    </row>
    <row r="191" customFormat="false" ht="15" hidden="false" customHeight="false" outlineLevel="0" collapsed="false">
      <c r="A191" s="7" t="s">
        <v>621</v>
      </c>
      <c r="B191" s="7" t="s">
        <v>937</v>
      </c>
      <c r="C191" s="7" t="s">
        <v>253</v>
      </c>
      <c r="D191" s="7" t="s">
        <v>604</v>
      </c>
      <c r="E191" s="7" t="n">
        <v>6.5</v>
      </c>
      <c r="F191" s="7" t="s">
        <v>853</v>
      </c>
      <c r="G191" s="7"/>
    </row>
    <row r="192" customFormat="false" ht="15" hidden="false" customHeight="false" outlineLevel="0" collapsed="false">
      <c r="A192" s="7" t="s">
        <v>621</v>
      </c>
      <c r="B192" s="7" t="s">
        <v>271</v>
      </c>
      <c r="C192" s="7" t="s">
        <v>935</v>
      </c>
      <c r="D192" s="7" t="s">
        <v>470</v>
      </c>
      <c r="E192" s="7" t="s">
        <v>937</v>
      </c>
      <c r="F192" s="7" t="s">
        <v>843</v>
      </c>
      <c r="G192" s="7" t="s">
        <v>936</v>
      </c>
    </row>
    <row r="193" customFormat="false" ht="15" hidden="false" customHeight="false" outlineLevel="0" collapsed="false">
      <c r="A193" s="7" t="s">
        <v>621</v>
      </c>
      <c r="B193" s="7" t="s">
        <v>882</v>
      </c>
      <c r="C193" s="7" t="s">
        <v>283</v>
      </c>
      <c r="D193" s="7" t="s">
        <v>842</v>
      </c>
      <c r="E193" s="7" t="s">
        <v>283</v>
      </c>
      <c r="F193" s="7" t="s">
        <v>843</v>
      </c>
      <c r="G193" s="7"/>
    </row>
    <row r="194" customFormat="false" ht="15" hidden="false" customHeight="false" outlineLevel="0" collapsed="false">
      <c r="A194" s="7" t="s">
        <v>621</v>
      </c>
      <c r="B194" s="7" t="s">
        <v>882</v>
      </c>
      <c r="C194" s="7" t="s">
        <v>283</v>
      </c>
      <c r="D194" s="7" t="s">
        <v>432</v>
      </c>
      <c r="E194" s="7" t="s">
        <v>45</v>
      </c>
      <c r="F194" s="7" t="s">
        <v>888</v>
      </c>
      <c r="G194" s="7"/>
    </row>
    <row r="195" customFormat="false" ht="15" hidden="false" customHeight="false" outlineLevel="0" collapsed="false">
      <c r="A195" s="7" t="s">
        <v>621</v>
      </c>
      <c r="B195" s="7" t="s">
        <v>882</v>
      </c>
      <c r="C195" s="7" t="s">
        <v>283</v>
      </c>
      <c r="D195" s="7" t="s">
        <v>434</v>
      </c>
      <c r="E195" s="7" t="s">
        <v>271</v>
      </c>
      <c r="F195" s="7" t="s">
        <v>888</v>
      </c>
      <c r="G195" s="7"/>
    </row>
    <row r="196" customFormat="false" ht="15" hidden="false" customHeight="false" outlineLevel="0" collapsed="false">
      <c r="A196" s="7" t="s">
        <v>621</v>
      </c>
      <c r="B196" s="7" t="s">
        <v>883</v>
      </c>
      <c r="C196" s="7" t="s">
        <v>245</v>
      </c>
      <c r="D196" s="7" t="s">
        <v>842</v>
      </c>
      <c r="E196" s="7" t="s">
        <v>245</v>
      </c>
      <c r="F196" s="7" t="s">
        <v>843</v>
      </c>
      <c r="G196" s="7"/>
    </row>
    <row r="197" customFormat="false" ht="15" hidden="false" customHeight="false" outlineLevel="0" collapsed="false">
      <c r="A197" s="7" t="s">
        <v>621</v>
      </c>
      <c r="B197" s="7" t="s">
        <v>883</v>
      </c>
      <c r="C197" s="7" t="s">
        <v>245</v>
      </c>
      <c r="D197" s="7" t="s">
        <v>530</v>
      </c>
      <c r="E197" s="7" t="n">
        <v>1.2E-013</v>
      </c>
      <c r="F197" s="7" t="s">
        <v>853</v>
      </c>
      <c r="G197" s="7"/>
    </row>
    <row r="198" customFormat="false" ht="15" hidden="false" customHeight="false" outlineLevel="0" collapsed="false">
      <c r="A198" s="7" t="s">
        <v>621</v>
      </c>
      <c r="B198" s="7" t="s">
        <v>883</v>
      </c>
      <c r="C198" s="7" t="s">
        <v>245</v>
      </c>
      <c r="D198" s="7" t="s">
        <v>400</v>
      </c>
      <c r="E198" s="7" t="s">
        <v>938</v>
      </c>
      <c r="F198" s="7" t="s">
        <v>846</v>
      </c>
      <c r="G198" s="7"/>
    </row>
    <row r="199" customFormat="false" ht="15" hidden="false" customHeight="false" outlineLevel="0" collapsed="false">
      <c r="A199" s="7" t="s">
        <v>621</v>
      </c>
      <c r="B199" s="7" t="s">
        <v>884</v>
      </c>
      <c r="C199" s="7" t="s">
        <v>191</v>
      </c>
      <c r="D199" s="7" t="s">
        <v>842</v>
      </c>
      <c r="E199" s="7" t="s">
        <v>191</v>
      </c>
      <c r="F199" s="7" t="s">
        <v>843</v>
      </c>
      <c r="G199" s="7"/>
    </row>
    <row r="200" customFormat="false" ht="15" hidden="false" customHeight="false" outlineLevel="0" collapsed="false">
      <c r="A200" s="7" t="s">
        <v>621</v>
      </c>
      <c r="B200" s="7" t="s">
        <v>884</v>
      </c>
      <c r="C200" s="7" t="s">
        <v>191</v>
      </c>
      <c r="D200" s="7" t="s">
        <v>532</v>
      </c>
      <c r="E200" s="7" t="s">
        <v>869</v>
      </c>
      <c r="F200" s="7" t="s">
        <v>843</v>
      </c>
      <c r="G200" s="7"/>
    </row>
    <row r="201" customFormat="false" ht="15" hidden="false" customHeight="false" outlineLevel="0" collapsed="false">
      <c r="A201" s="7" t="s">
        <v>621</v>
      </c>
      <c r="B201" s="7" t="s">
        <v>884</v>
      </c>
      <c r="C201" s="7" t="s">
        <v>191</v>
      </c>
      <c r="D201" s="7" t="s">
        <v>544</v>
      </c>
      <c r="E201" s="7" t="s">
        <v>865</v>
      </c>
      <c r="F201" s="7" t="s">
        <v>843</v>
      </c>
      <c r="G201" s="7"/>
    </row>
    <row r="202" customFormat="false" ht="15" hidden="false" customHeight="false" outlineLevel="0" collapsed="false">
      <c r="A202" s="7" t="s">
        <v>621</v>
      </c>
      <c r="B202" s="7" t="s">
        <v>884</v>
      </c>
      <c r="C202" s="7" t="s">
        <v>191</v>
      </c>
      <c r="D202" s="7" t="s">
        <v>546</v>
      </c>
      <c r="E202" s="7" t="n">
        <v>10</v>
      </c>
      <c r="F202" s="7" t="s">
        <v>853</v>
      </c>
      <c r="G202" s="7"/>
    </row>
    <row r="203" customFormat="false" ht="15" hidden="false" customHeight="false" outlineLevel="0" collapsed="false">
      <c r="A203" s="7" t="s">
        <v>621</v>
      </c>
      <c r="B203" s="7" t="s">
        <v>939</v>
      </c>
      <c r="C203" s="7" t="s">
        <v>359</v>
      </c>
      <c r="D203" s="7" t="s">
        <v>842</v>
      </c>
      <c r="E203" s="7" t="s">
        <v>359</v>
      </c>
      <c r="F203" s="7" t="s">
        <v>843</v>
      </c>
      <c r="G203" s="7"/>
    </row>
    <row r="204" customFormat="false" ht="15" hidden="false" customHeight="false" outlineLevel="0" collapsed="false">
      <c r="A204" s="7" t="s">
        <v>621</v>
      </c>
      <c r="B204" s="7" t="s">
        <v>939</v>
      </c>
      <c r="C204" s="7" t="s">
        <v>359</v>
      </c>
      <c r="D204" s="7" t="s">
        <v>500</v>
      </c>
      <c r="E204" s="7" t="s">
        <v>623</v>
      </c>
      <c r="F204" s="7" t="s">
        <v>843</v>
      </c>
      <c r="G204" s="7"/>
    </row>
    <row r="205" customFormat="false" ht="15" hidden="false" customHeight="false" outlineLevel="0" collapsed="false">
      <c r="A205" s="7" t="s">
        <v>621</v>
      </c>
      <c r="B205" s="7" t="s">
        <v>939</v>
      </c>
      <c r="C205" s="7" t="s">
        <v>359</v>
      </c>
      <c r="D205" s="7" t="s">
        <v>430</v>
      </c>
      <c r="E205" s="7" t="s">
        <v>940</v>
      </c>
      <c r="F205" s="7" t="s">
        <v>843</v>
      </c>
      <c r="G205" s="7"/>
    </row>
    <row r="206" customFormat="false" ht="15" hidden="false" customHeight="false" outlineLevel="0" collapsed="false">
      <c r="A206" s="7" t="s">
        <v>621</v>
      </c>
      <c r="B206" s="7" t="s">
        <v>939</v>
      </c>
      <c r="C206" s="7" t="s">
        <v>359</v>
      </c>
      <c r="D206" s="7" t="s">
        <v>375</v>
      </c>
      <c r="E206" s="7" t="n">
        <v>310</v>
      </c>
      <c r="F206" s="7" t="s">
        <v>853</v>
      </c>
      <c r="G206" s="7"/>
    </row>
    <row r="207" customFormat="false" ht="15" hidden="false" customHeight="false" outlineLevel="0" collapsed="false">
      <c r="A207" s="7" t="s">
        <v>621</v>
      </c>
      <c r="B207" s="7" t="s">
        <v>940</v>
      </c>
      <c r="C207" s="7" t="s">
        <v>289</v>
      </c>
      <c r="D207" s="7" t="s">
        <v>842</v>
      </c>
      <c r="E207" s="7" t="s">
        <v>289</v>
      </c>
      <c r="F207" s="7" t="s">
        <v>843</v>
      </c>
      <c r="G207" s="7"/>
    </row>
    <row r="208" customFormat="false" ht="15" hidden="false" customHeight="false" outlineLevel="0" collapsed="false">
      <c r="A208" s="7" t="s">
        <v>621</v>
      </c>
      <c r="B208" s="7" t="s">
        <v>940</v>
      </c>
      <c r="C208" s="7" t="s">
        <v>289</v>
      </c>
      <c r="D208" s="7" t="s">
        <v>398</v>
      </c>
      <c r="E208" s="7" t="n">
        <v>12.5</v>
      </c>
      <c r="F208" s="7" t="s">
        <v>853</v>
      </c>
      <c r="G208" s="7"/>
    </row>
    <row r="209" customFormat="false" ht="15" hidden="false" customHeight="false" outlineLevel="0" collapsed="false">
      <c r="A209" s="7" t="s">
        <v>621</v>
      </c>
      <c r="B209" s="7" t="s">
        <v>941</v>
      </c>
      <c r="C209" s="7" t="s">
        <v>127</v>
      </c>
      <c r="D209" s="7" t="s">
        <v>842</v>
      </c>
      <c r="E209" s="7" t="s">
        <v>127</v>
      </c>
      <c r="F209" s="7" t="s">
        <v>843</v>
      </c>
      <c r="G209" s="7"/>
    </row>
    <row r="210" customFormat="false" ht="15" hidden="false" customHeight="false" outlineLevel="0" collapsed="false">
      <c r="A210" s="7" t="s">
        <v>621</v>
      </c>
      <c r="B210" s="7" t="s">
        <v>942</v>
      </c>
      <c r="C210" s="7" t="s">
        <v>155</v>
      </c>
      <c r="D210" s="7" t="s">
        <v>842</v>
      </c>
      <c r="E210" s="7" t="s">
        <v>155</v>
      </c>
      <c r="F210" s="7" t="s">
        <v>843</v>
      </c>
      <c r="G210" s="7"/>
    </row>
    <row r="211" customFormat="false" ht="15" hidden="false" customHeight="false" outlineLevel="0" collapsed="false">
      <c r="A211" s="7" t="s">
        <v>621</v>
      </c>
      <c r="B211" s="7" t="s">
        <v>943</v>
      </c>
      <c r="C211" s="7" t="s">
        <v>119</v>
      </c>
      <c r="D211" s="7" t="s">
        <v>842</v>
      </c>
      <c r="E211" s="7" t="s">
        <v>119</v>
      </c>
      <c r="F211" s="7" t="s">
        <v>843</v>
      </c>
      <c r="G211" s="7"/>
    </row>
    <row r="212" customFormat="false" ht="15" hidden="false" customHeight="false" outlineLevel="0" collapsed="false">
      <c r="A212" s="7" t="s">
        <v>621</v>
      </c>
      <c r="B212" s="7" t="s">
        <v>944</v>
      </c>
      <c r="C212" s="7" t="s">
        <v>211</v>
      </c>
      <c r="D212" s="7" t="s">
        <v>842</v>
      </c>
      <c r="E212" s="7" t="s">
        <v>211</v>
      </c>
      <c r="F212" s="7" t="s">
        <v>843</v>
      </c>
      <c r="G212" s="7"/>
    </row>
    <row r="213" customFormat="false" ht="15" hidden="false" customHeight="false" outlineLevel="0" collapsed="false">
      <c r="A213" s="7" t="s">
        <v>621</v>
      </c>
      <c r="B213" s="7" t="s">
        <v>945</v>
      </c>
      <c r="C213" s="7" t="s">
        <v>335</v>
      </c>
      <c r="D213" s="7" t="s">
        <v>842</v>
      </c>
      <c r="E213" s="7" t="s">
        <v>335</v>
      </c>
      <c r="F213" s="7" t="s">
        <v>843</v>
      </c>
      <c r="G213" s="7"/>
    </row>
    <row r="214" customFormat="false" ht="15" hidden="false" customHeight="false" outlineLevel="0" collapsed="false">
      <c r="A214" s="7" t="s">
        <v>621</v>
      </c>
      <c r="B214" s="7" t="s">
        <v>946</v>
      </c>
      <c r="C214" s="7" t="s">
        <v>41</v>
      </c>
      <c r="D214" s="7" t="s">
        <v>842</v>
      </c>
      <c r="E214" s="7" t="s">
        <v>41</v>
      </c>
      <c r="F214" s="7" t="s">
        <v>843</v>
      </c>
      <c r="G214" s="7"/>
    </row>
    <row r="215" customFormat="false" ht="15" hidden="false" customHeight="false" outlineLevel="0" collapsed="false">
      <c r="A215" s="7" t="s">
        <v>621</v>
      </c>
      <c r="B215" s="7" t="s">
        <v>946</v>
      </c>
      <c r="C215" s="7" t="s">
        <v>41</v>
      </c>
      <c r="D215" s="7" t="s">
        <v>380</v>
      </c>
      <c r="E215" s="7" t="s">
        <v>947</v>
      </c>
      <c r="F215" s="7" t="s">
        <v>846</v>
      </c>
      <c r="G215" s="7"/>
    </row>
    <row r="216" customFormat="false" ht="15" hidden="false" customHeight="false" outlineLevel="0" collapsed="false">
      <c r="A216" s="7" t="s">
        <v>621</v>
      </c>
      <c r="B216" s="7" t="s">
        <v>946</v>
      </c>
      <c r="C216" s="7" t="s">
        <v>41</v>
      </c>
      <c r="D216" s="7" t="s">
        <v>474</v>
      </c>
      <c r="E216" s="7" t="s">
        <v>948</v>
      </c>
      <c r="F216" s="7" t="s">
        <v>843</v>
      </c>
      <c r="G216" s="7"/>
    </row>
    <row r="217" customFormat="false" ht="15" hidden="false" customHeight="false" outlineLevel="0" collapsed="false">
      <c r="A217" s="7" t="s">
        <v>621</v>
      </c>
      <c r="B217" s="7" t="s">
        <v>946</v>
      </c>
      <c r="C217" s="7" t="s">
        <v>41</v>
      </c>
      <c r="D217" s="7" t="s">
        <v>538</v>
      </c>
      <c r="E217" s="7" t="s">
        <v>705</v>
      </c>
      <c r="F217" s="7" t="s">
        <v>843</v>
      </c>
      <c r="G217" s="7"/>
    </row>
    <row r="218" customFormat="false" ht="15" hidden="false" customHeight="false" outlineLevel="0" collapsed="false">
      <c r="A218" s="7" t="s">
        <v>621</v>
      </c>
      <c r="B218" s="7" t="s">
        <v>948</v>
      </c>
      <c r="C218" s="7" t="s">
        <v>251</v>
      </c>
      <c r="D218" s="7" t="s">
        <v>842</v>
      </c>
      <c r="E218" s="7" t="s">
        <v>251</v>
      </c>
      <c r="F218" s="7" t="s">
        <v>843</v>
      </c>
      <c r="G218" s="7"/>
    </row>
    <row r="219" customFormat="false" ht="15" hidden="false" customHeight="false" outlineLevel="0" collapsed="false">
      <c r="A219" s="7" t="s">
        <v>621</v>
      </c>
      <c r="B219" s="7" t="s">
        <v>949</v>
      </c>
      <c r="C219" s="7" t="s">
        <v>41</v>
      </c>
      <c r="D219" s="7" t="s">
        <v>842</v>
      </c>
      <c r="E219" s="7" t="s">
        <v>41</v>
      </c>
      <c r="F219" s="7" t="s">
        <v>843</v>
      </c>
      <c r="G219" s="7"/>
    </row>
    <row r="220" customFormat="false" ht="15" hidden="false" customHeight="false" outlineLevel="0" collapsed="false">
      <c r="A220" s="7" t="s">
        <v>621</v>
      </c>
      <c r="B220" s="7" t="s">
        <v>949</v>
      </c>
      <c r="C220" s="7" t="s">
        <v>41</v>
      </c>
      <c r="D220" s="7" t="s">
        <v>380</v>
      </c>
      <c r="E220" s="7" t="s">
        <v>950</v>
      </c>
      <c r="F220" s="7" t="s">
        <v>846</v>
      </c>
      <c r="G220" s="7"/>
    </row>
    <row r="221" customFormat="false" ht="15" hidden="false" customHeight="false" outlineLevel="0" collapsed="false">
      <c r="A221" s="7" t="s">
        <v>621</v>
      </c>
      <c r="B221" s="7" t="s">
        <v>949</v>
      </c>
      <c r="C221" s="7" t="s">
        <v>41</v>
      </c>
      <c r="D221" s="7" t="s">
        <v>474</v>
      </c>
      <c r="E221" s="7" t="s">
        <v>951</v>
      </c>
      <c r="F221" s="7" t="s">
        <v>843</v>
      </c>
      <c r="G221" s="7"/>
    </row>
    <row r="222" customFormat="false" ht="15" hidden="false" customHeight="false" outlineLevel="0" collapsed="false">
      <c r="A222" s="7" t="s">
        <v>621</v>
      </c>
      <c r="B222" s="7" t="s">
        <v>949</v>
      </c>
      <c r="C222" s="7" t="s">
        <v>41</v>
      </c>
      <c r="D222" s="7" t="s">
        <v>538</v>
      </c>
      <c r="E222" s="7" t="s">
        <v>828</v>
      </c>
      <c r="F222" s="7" t="s">
        <v>843</v>
      </c>
      <c r="G222" s="7"/>
    </row>
    <row r="223" customFormat="false" ht="15" hidden="false" customHeight="false" outlineLevel="0" collapsed="false">
      <c r="A223" s="7" t="s">
        <v>621</v>
      </c>
      <c r="B223" s="7" t="s">
        <v>951</v>
      </c>
      <c r="C223" s="7" t="s">
        <v>261</v>
      </c>
      <c r="D223" s="7" t="s">
        <v>842</v>
      </c>
      <c r="E223" s="7" t="s">
        <v>261</v>
      </c>
      <c r="F223" s="7" t="s">
        <v>843</v>
      </c>
      <c r="G223" s="7"/>
    </row>
    <row r="224" customFormat="false" ht="15" hidden="false" customHeight="false" outlineLevel="0" collapsed="false">
      <c r="A224" s="7" t="s">
        <v>621</v>
      </c>
      <c r="B224" s="7" t="s">
        <v>797</v>
      </c>
      <c r="C224" s="7" t="s">
        <v>157</v>
      </c>
      <c r="D224" s="7" t="s">
        <v>842</v>
      </c>
      <c r="E224" s="7" t="s">
        <v>157</v>
      </c>
      <c r="F224" s="7" t="s">
        <v>843</v>
      </c>
      <c r="G224" s="7"/>
    </row>
    <row r="225" customFormat="false" ht="15" hidden="false" customHeight="false" outlineLevel="0" collapsed="false">
      <c r="A225" s="7" t="s">
        <v>621</v>
      </c>
      <c r="B225" s="7" t="s">
        <v>797</v>
      </c>
      <c r="C225" s="7" t="s">
        <v>157</v>
      </c>
      <c r="D225" s="7" t="s">
        <v>574</v>
      </c>
      <c r="E225" s="7" t="s">
        <v>952</v>
      </c>
      <c r="F225" s="7" t="s">
        <v>846</v>
      </c>
      <c r="G225" s="7"/>
    </row>
    <row r="226" customFormat="false" ht="15" hidden="false" customHeight="false" outlineLevel="0" collapsed="false">
      <c r="A226" s="7" t="s">
        <v>621</v>
      </c>
      <c r="B226" s="7" t="s">
        <v>808</v>
      </c>
      <c r="C226" s="7" t="s">
        <v>31</v>
      </c>
      <c r="D226" s="7" t="s">
        <v>842</v>
      </c>
      <c r="E226" s="7" t="s">
        <v>31</v>
      </c>
      <c r="F226" s="7" t="s">
        <v>843</v>
      </c>
      <c r="G226" s="7"/>
    </row>
    <row r="227" customFormat="false" ht="15" hidden="false" customHeight="false" outlineLevel="0" collapsed="false">
      <c r="A227" s="7" t="s">
        <v>621</v>
      </c>
      <c r="B227" s="7" t="s">
        <v>808</v>
      </c>
      <c r="C227" s="7" t="s">
        <v>31</v>
      </c>
      <c r="D227" s="7" t="s">
        <v>574</v>
      </c>
      <c r="E227" s="7" t="s">
        <v>953</v>
      </c>
      <c r="F227" s="7" t="s">
        <v>846</v>
      </c>
      <c r="G227" s="7"/>
    </row>
    <row r="228" customFormat="false" ht="15" hidden="false" customHeight="false" outlineLevel="0" collapsed="false">
      <c r="A228" s="7" t="s">
        <v>621</v>
      </c>
      <c r="B228" s="7" t="s">
        <v>954</v>
      </c>
      <c r="C228" s="7" t="s">
        <v>65</v>
      </c>
      <c r="D228" s="7" t="s">
        <v>842</v>
      </c>
      <c r="E228" s="7" t="s">
        <v>65</v>
      </c>
      <c r="F228" s="7" t="s">
        <v>843</v>
      </c>
      <c r="G228" s="7" t="s">
        <v>955</v>
      </c>
    </row>
    <row r="229" customFormat="false" ht="15" hidden="false" customHeight="false" outlineLevel="0" collapsed="false">
      <c r="A229" s="7" t="s">
        <v>621</v>
      </c>
      <c r="B229" s="7" t="s">
        <v>956</v>
      </c>
      <c r="C229" s="7" t="s">
        <v>149</v>
      </c>
      <c r="D229" s="7" t="s">
        <v>842</v>
      </c>
      <c r="E229" s="7" t="s">
        <v>149</v>
      </c>
      <c r="F229" s="7" t="s">
        <v>843</v>
      </c>
      <c r="G229" s="7" t="s">
        <v>957</v>
      </c>
    </row>
    <row r="230" customFormat="false" ht="15" hidden="false" customHeight="false" outlineLevel="0" collapsed="false">
      <c r="A230" s="7" t="s">
        <v>621</v>
      </c>
      <c r="B230" s="7" t="s">
        <v>958</v>
      </c>
      <c r="C230" s="7" t="s">
        <v>263</v>
      </c>
      <c r="D230" s="7" t="s">
        <v>842</v>
      </c>
      <c r="E230" s="7" t="s">
        <v>263</v>
      </c>
      <c r="F230" s="7" t="s">
        <v>843</v>
      </c>
      <c r="G230" s="7" t="s">
        <v>957</v>
      </c>
    </row>
    <row r="231" customFormat="false" ht="15" hidden="false" customHeight="false" outlineLevel="0" collapsed="false">
      <c r="A231" s="7" t="s">
        <v>621</v>
      </c>
      <c r="B231" s="7" t="s">
        <v>959</v>
      </c>
      <c r="C231" s="7" t="s">
        <v>247</v>
      </c>
      <c r="D231" s="7" t="s">
        <v>842</v>
      </c>
      <c r="E231" s="7" t="s">
        <v>247</v>
      </c>
      <c r="F231" s="7" t="s">
        <v>843</v>
      </c>
      <c r="G231" s="7" t="s">
        <v>957</v>
      </c>
    </row>
    <row r="232" customFormat="false" ht="15" hidden="false" customHeight="false" outlineLevel="0" collapsed="false">
      <c r="A232" s="7" t="s">
        <v>621</v>
      </c>
      <c r="B232" s="7" t="s">
        <v>960</v>
      </c>
      <c r="C232" s="7" t="s">
        <v>175</v>
      </c>
      <c r="D232" s="7" t="s">
        <v>842</v>
      </c>
      <c r="E232" s="7" t="s">
        <v>175</v>
      </c>
      <c r="F232" s="7" t="s">
        <v>843</v>
      </c>
      <c r="G232" s="7" t="s">
        <v>957</v>
      </c>
    </row>
    <row r="233" customFormat="false" ht="15" hidden="false" customHeight="false" outlineLevel="0" collapsed="false">
      <c r="A233" s="7" t="s">
        <v>621</v>
      </c>
      <c r="B233" s="7" t="s">
        <v>961</v>
      </c>
      <c r="C233" s="7" t="s">
        <v>207</v>
      </c>
      <c r="D233" s="7" t="s">
        <v>842</v>
      </c>
      <c r="E233" s="7" t="s">
        <v>207</v>
      </c>
      <c r="F233" s="7" t="s">
        <v>843</v>
      </c>
      <c r="G233" s="7" t="s">
        <v>957</v>
      </c>
    </row>
    <row r="234" customFormat="false" ht="15" hidden="false" customHeight="false" outlineLevel="0" collapsed="false">
      <c r="A234" s="7" t="s">
        <v>621</v>
      </c>
      <c r="B234" s="7" t="s">
        <v>962</v>
      </c>
      <c r="C234" s="7" t="s">
        <v>369</v>
      </c>
      <c r="D234" s="7" t="s">
        <v>842</v>
      </c>
      <c r="E234" s="7" t="s">
        <v>369</v>
      </c>
      <c r="F234" s="7" t="s">
        <v>843</v>
      </c>
      <c r="G234" s="7" t="s">
        <v>957</v>
      </c>
    </row>
    <row r="235" customFormat="false" ht="15" hidden="false" customHeight="false" outlineLevel="0" collapsed="false">
      <c r="A235" s="7" t="s">
        <v>621</v>
      </c>
      <c r="B235" s="7" t="s">
        <v>963</v>
      </c>
      <c r="C235" s="7" t="s">
        <v>319</v>
      </c>
      <c r="D235" s="7" t="s">
        <v>842</v>
      </c>
      <c r="E235" s="7" t="s">
        <v>319</v>
      </c>
      <c r="F235" s="7" t="s">
        <v>843</v>
      </c>
      <c r="G235" s="7" t="s">
        <v>957</v>
      </c>
    </row>
    <row r="236" customFormat="false" ht="15" hidden="false" customHeight="false" outlineLevel="0" collapsed="false">
      <c r="A236" s="7" t="s">
        <v>621</v>
      </c>
      <c r="B236" s="7" t="s">
        <v>964</v>
      </c>
      <c r="C236" s="7" t="s">
        <v>219</v>
      </c>
      <c r="D236" s="7" t="s">
        <v>842</v>
      </c>
      <c r="E236" s="7" t="s">
        <v>219</v>
      </c>
      <c r="F236" s="7" t="s">
        <v>843</v>
      </c>
      <c r="G236" s="7" t="s">
        <v>957</v>
      </c>
    </row>
    <row r="237" customFormat="false" ht="15" hidden="false" customHeight="false" outlineLevel="0" collapsed="false">
      <c r="A237" s="7" t="s">
        <v>621</v>
      </c>
      <c r="B237" s="7" t="s">
        <v>965</v>
      </c>
      <c r="C237" s="7" t="s">
        <v>161</v>
      </c>
      <c r="D237" s="7" t="s">
        <v>842</v>
      </c>
      <c r="E237" s="7" t="s">
        <v>161</v>
      </c>
      <c r="F237" s="7" t="s">
        <v>843</v>
      </c>
      <c r="G237" s="7" t="s">
        <v>957</v>
      </c>
    </row>
    <row r="238" customFormat="false" ht="15" hidden="false" customHeight="false" outlineLevel="0" collapsed="false">
      <c r="A238" s="7" t="s">
        <v>621</v>
      </c>
      <c r="B238" s="7" t="s">
        <v>966</v>
      </c>
      <c r="C238" s="7" t="s">
        <v>55</v>
      </c>
      <c r="D238" s="7" t="s">
        <v>842</v>
      </c>
      <c r="E238" s="7" t="s">
        <v>55</v>
      </c>
      <c r="F238" s="7" t="s">
        <v>843</v>
      </c>
      <c r="G238" s="7" t="s">
        <v>957</v>
      </c>
    </row>
    <row r="239" customFormat="false" ht="15" hidden="false" customHeight="false" outlineLevel="0" collapsed="false">
      <c r="A239" s="7" t="s">
        <v>621</v>
      </c>
      <c r="B239" s="7" t="s">
        <v>967</v>
      </c>
      <c r="C239" s="7" t="s">
        <v>91</v>
      </c>
      <c r="D239" s="7" t="s">
        <v>842</v>
      </c>
      <c r="E239" s="7" t="s">
        <v>91</v>
      </c>
      <c r="F239" s="7" t="s">
        <v>843</v>
      </c>
      <c r="G239" s="7" t="s">
        <v>957</v>
      </c>
    </row>
    <row r="240" customFormat="false" ht="15" hidden="false" customHeight="false" outlineLevel="0" collapsed="false">
      <c r="A240" s="7" t="s">
        <v>621</v>
      </c>
      <c r="B240" s="7" t="s">
        <v>968</v>
      </c>
      <c r="C240" s="7" t="s">
        <v>167</v>
      </c>
      <c r="D240" s="7" t="s">
        <v>842</v>
      </c>
      <c r="E240" s="7" t="s">
        <v>167</v>
      </c>
      <c r="F240" s="7" t="s">
        <v>843</v>
      </c>
      <c r="G240" s="7" t="s">
        <v>957</v>
      </c>
    </row>
    <row r="241" customFormat="false" ht="15" hidden="false" customHeight="false" outlineLevel="0" collapsed="false">
      <c r="A241" s="7" t="s">
        <v>621</v>
      </c>
      <c r="B241" s="7" t="s">
        <v>969</v>
      </c>
      <c r="C241" s="7" t="s">
        <v>203</v>
      </c>
      <c r="D241" s="7" t="s">
        <v>842</v>
      </c>
      <c r="E241" s="7" t="s">
        <v>203</v>
      </c>
      <c r="F241" s="7" t="s">
        <v>843</v>
      </c>
      <c r="G241" s="7" t="s">
        <v>957</v>
      </c>
    </row>
    <row r="242" customFormat="false" ht="15" hidden="false" customHeight="false" outlineLevel="0" collapsed="false">
      <c r="A242" s="7" t="s">
        <v>621</v>
      </c>
      <c r="B242" s="7" t="s">
        <v>970</v>
      </c>
      <c r="C242" s="7" t="s">
        <v>145</v>
      </c>
      <c r="D242" s="7" t="s">
        <v>842</v>
      </c>
      <c r="E242" s="7" t="s">
        <v>145</v>
      </c>
      <c r="F242" s="7" t="s">
        <v>843</v>
      </c>
      <c r="G242" s="7" t="s">
        <v>957</v>
      </c>
    </row>
    <row r="243" customFormat="false" ht="15" hidden="false" customHeight="false" outlineLevel="0" collapsed="false">
      <c r="A243" s="7" t="s">
        <v>621</v>
      </c>
      <c r="B243" s="7" t="s">
        <v>971</v>
      </c>
      <c r="C243" s="7" t="s">
        <v>257</v>
      </c>
      <c r="D243" s="7" t="s">
        <v>842</v>
      </c>
      <c r="E243" s="7" t="s">
        <v>257</v>
      </c>
      <c r="F243" s="7" t="s">
        <v>843</v>
      </c>
      <c r="G243" s="7" t="s">
        <v>957</v>
      </c>
    </row>
    <row r="244" customFormat="false" ht="15" hidden="false" customHeight="false" outlineLevel="0" collapsed="false">
      <c r="A244" s="7" t="s">
        <v>621</v>
      </c>
      <c r="B244" s="7" t="s">
        <v>972</v>
      </c>
      <c r="C244" s="7" t="s">
        <v>285</v>
      </c>
      <c r="D244" s="7" t="s">
        <v>842</v>
      </c>
      <c r="E244" s="7" t="s">
        <v>285</v>
      </c>
      <c r="F244" s="7" t="s">
        <v>843</v>
      </c>
      <c r="G244" s="7" t="s">
        <v>957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8"/>
    <col collapsed="false" customWidth="true" hidden="false" outlineLevel="0" max="5" min="5" style="0" width="24"/>
    <col collapsed="false" customWidth="true" hidden="false" outlineLevel="0" max="6" min="6" style="0" width="50"/>
    <col collapsed="false" customWidth="true" hidden="false" outlineLevel="0" max="7" min="7" style="0" width="12"/>
    <col collapsed="false" customWidth="true" hidden="false" outlineLevel="0" max="8" min="8" style="0" width="16"/>
    <col collapsed="false" customWidth="true" hidden="false" outlineLevel="0" max="9" min="9" style="0" width="22"/>
    <col collapsed="false" customWidth="true" hidden="false" outlineLevel="0" max="11" min="10" style="0" width="12"/>
    <col collapsed="false" customWidth="true" hidden="false" outlineLevel="0" max="12" min="12" style="0" width="16"/>
    <col collapsed="false" customWidth="true" hidden="false" outlineLevel="0" max="13" min="13" style="0" width="44"/>
  </cols>
  <sheetData>
    <row r="1" customFormat="false" ht="23.85" hidden="false" customHeight="false" outlineLevel="0" collapsed="false">
      <c r="A1" s="6" t="s">
        <v>973</v>
      </c>
      <c r="B1" s="6" t="s">
        <v>974</v>
      </c>
      <c r="C1" s="6" t="s">
        <v>975</v>
      </c>
      <c r="D1" s="6" t="s">
        <v>976</v>
      </c>
      <c r="E1" s="6" t="s">
        <v>977</v>
      </c>
      <c r="F1" s="6" t="s">
        <v>978</v>
      </c>
      <c r="G1" s="6" t="s">
        <v>377</v>
      </c>
      <c r="H1" s="6" t="s">
        <v>617</v>
      </c>
      <c r="I1" s="6" t="s">
        <v>979</v>
      </c>
      <c r="J1" s="6" t="s">
        <v>980</v>
      </c>
      <c r="K1" s="6" t="s">
        <v>981</v>
      </c>
      <c r="L1" s="6" t="s">
        <v>982</v>
      </c>
      <c r="M1" s="6" t="s">
        <v>983</v>
      </c>
    </row>
    <row r="2" customFormat="false" ht="23.85" hidden="false" customHeight="false" outlineLevel="0" collapsed="false">
      <c r="A2" s="8" t="s">
        <v>984</v>
      </c>
      <c r="B2" s="8" t="s">
        <v>985</v>
      </c>
      <c r="C2" s="8" t="s">
        <v>986</v>
      </c>
      <c r="D2" s="8" t="s">
        <v>987</v>
      </c>
      <c r="E2" s="8" t="s">
        <v>988</v>
      </c>
      <c r="F2" s="8" t="s">
        <v>989</v>
      </c>
      <c r="G2" s="8" t="s">
        <v>990</v>
      </c>
      <c r="H2" s="8" t="s">
        <v>991</v>
      </c>
      <c r="I2" s="8" t="s">
        <v>991</v>
      </c>
      <c r="J2" s="8" t="n">
        <v>1326</v>
      </c>
      <c r="K2" s="8" t="n">
        <v>1</v>
      </c>
      <c r="L2" s="8" t="s">
        <v>992</v>
      </c>
      <c r="M2" s="8" t="s">
        <v>993</v>
      </c>
    </row>
    <row r="3" customFormat="false" ht="35.05" hidden="false" customHeight="false" outlineLevel="0" collapsed="false">
      <c r="A3" s="8" t="s">
        <v>984</v>
      </c>
      <c r="B3" s="8" t="s">
        <v>994</v>
      </c>
      <c r="C3" s="8" t="s">
        <v>995</v>
      </c>
      <c r="D3" s="8" t="s">
        <v>996</v>
      </c>
      <c r="E3" s="8" t="s">
        <v>988</v>
      </c>
      <c r="F3" s="8" t="s">
        <v>997</v>
      </c>
      <c r="G3" s="8" t="s">
        <v>990</v>
      </c>
      <c r="H3" s="8" t="s">
        <v>991</v>
      </c>
      <c r="I3" s="8" t="s">
        <v>991</v>
      </c>
      <c r="J3" s="8" t="n">
        <v>1326</v>
      </c>
      <c r="K3" s="8" t="n">
        <v>6</v>
      </c>
      <c r="L3" s="8" t="s">
        <v>855</v>
      </c>
      <c r="M3" s="8" t="s">
        <v>998</v>
      </c>
    </row>
    <row r="4" customFormat="false" ht="35.05" hidden="false" customHeight="false" outlineLevel="0" collapsed="false">
      <c r="A4" s="8" t="s">
        <v>984</v>
      </c>
      <c r="B4" s="8" t="s">
        <v>999</v>
      </c>
      <c r="C4" s="8" t="s">
        <v>995</v>
      </c>
      <c r="D4" s="8" t="s">
        <v>1000</v>
      </c>
      <c r="E4" s="8" t="s">
        <v>988</v>
      </c>
      <c r="F4" s="8" t="s">
        <v>1001</v>
      </c>
      <c r="G4" s="8" t="s">
        <v>990</v>
      </c>
      <c r="H4" s="8" t="s">
        <v>991</v>
      </c>
      <c r="I4" s="8" t="s">
        <v>991</v>
      </c>
      <c r="J4" s="8" t="n">
        <v>1326</v>
      </c>
      <c r="K4" s="8" t="n">
        <v>1326</v>
      </c>
      <c r="L4" s="8" t="n">
        <v>481639228.3</v>
      </c>
      <c r="M4" s="8" t="s">
        <v>1002</v>
      </c>
    </row>
    <row r="5" customFormat="false" ht="23.85" hidden="false" customHeight="false" outlineLevel="0" collapsed="false">
      <c r="A5" s="8" t="s">
        <v>984</v>
      </c>
      <c r="B5" s="8" t="s">
        <v>1003</v>
      </c>
      <c r="C5" s="8" t="s">
        <v>986</v>
      </c>
      <c r="D5" s="8" t="s">
        <v>1004</v>
      </c>
      <c r="E5" s="8" t="s">
        <v>988</v>
      </c>
      <c r="F5" s="8" t="s">
        <v>1005</v>
      </c>
      <c r="G5" s="8" t="s">
        <v>990</v>
      </c>
      <c r="H5" s="8" t="s">
        <v>991</v>
      </c>
      <c r="I5" s="8" t="s">
        <v>991</v>
      </c>
      <c r="J5" s="8" t="n">
        <v>1326</v>
      </c>
      <c r="K5" s="8" t="n">
        <v>4</v>
      </c>
      <c r="L5" s="8" t="s">
        <v>1006</v>
      </c>
      <c r="M5" s="8" t="s">
        <v>1007</v>
      </c>
    </row>
    <row r="6" customFormat="false" ht="23.85" hidden="false" customHeight="false" outlineLevel="0" collapsed="false">
      <c r="A6" s="8" t="s">
        <v>984</v>
      </c>
      <c r="B6" s="8" t="s">
        <v>1008</v>
      </c>
      <c r="C6" s="8" t="s">
        <v>986</v>
      </c>
      <c r="D6" s="8" t="s">
        <v>1009</v>
      </c>
      <c r="E6" s="8" t="s">
        <v>988</v>
      </c>
      <c r="F6" s="8" t="s">
        <v>1010</v>
      </c>
      <c r="G6" s="8" t="s">
        <v>990</v>
      </c>
      <c r="H6" s="8" t="s">
        <v>991</v>
      </c>
      <c r="I6" s="8" t="s">
        <v>991</v>
      </c>
      <c r="J6" s="8" t="n">
        <v>1326</v>
      </c>
      <c r="K6" s="8" t="n">
        <v>2</v>
      </c>
      <c r="L6" s="8" t="s">
        <v>873</v>
      </c>
      <c r="M6" s="8" t="s">
        <v>1011</v>
      </c>
    </row>
    <row r="7" customFormat="false" ht="35.05" hidden="false" customHeight="false" outlineLevel="0" collapsed="false">
      <c r="A7" s="8" t="s">
        <v>984</v>
      </c>
      <c r="B7" s="8" t="s">
        <v>1012</v>
      </c>
      <c r="C7" s="8" t="s">
        <v>986</v>
      </c>
      <c r="D7" s="8" t="s">
        <v>1013</v>
      </c>
      <c r="E7" s="8" t="s">
        <v>988</v>
      </c>
      <c r="F7" s="8" t="s">
        <v>1014</v>
      </c>
      <c r="G7" s="8" t="s">
        <v>990</v>
      </c>
      <c r="H7" s="8" t="s">
        <v>991</v>
      </c>
      <c r="I7" s="8" t="s">
        <v>991</v>
      </c>
      <c r="J7" s="8" t="n">
        <v>1326</v>
      </c>
      <c r="K7" s="8" t="n">
        <v>6</v>
      </c>
      <c r="L7" s="8" t="s">
        <v>855</v>
      </c>
      <c r="M7" s="8" t="s">
        <v>1015</v>
      </c>
    </row>
    <row r="8" customFormat="false" ht="23.85" hidden="false" customHeight="false" outlineLevel="0" collapsed="false">
      <c r="A8" s="8" t="s">
        <v>984</v>
      </c>
      <c r="B8" s="8" t="s">
        <v>1016</v>
      </c>
      <c r="C8" s="8" t="s">
        <v>1017</v>
      </c>
      <c r="D8" s="8" t="s">
        <v>53</v>
      </c>
      <c r="E8" s="8" t="s">
        <v>1018</v>
      </c>
      <c r="F8" s="8" t="s">
        <v>1019</v>
      </c>
      <c r="G8" s="8" t="s">
        <v>853</v>
      </c>
      <c r="H8" s="8" t="s">
        <v>1020</v>
      </c>
      <c r="I8" s="8" t="s">
        <v>991</v>
      </c>
      <c r="J8" s="8" t="n">
        <v>1326</v>
      </c>
      <c r="K8" s="8" t="n">
        <v>50</v>
      </c>
      <c r="L8" s="8" t="n">
        <v>9356.666667</v>
      </c>
      <c r="M8" s="8"/>
    </row>
    <row r="9" customFormat="false" ht="23.85" hidden="false" customHeight="false" outlineLevel="0" collapsed="false">
      <c r="A9" s="8" t="s">
        <v>984</v>
      </c>
      <c r="B9" s="8" t="s">
        <v>1021</v>
      </c>
      <c r="C9" s="8" t="s">
        <v>1017</v>
      </c>
      <c r="D9" s="8" t="s">
        <v>133</v>
      </c>
      <c r="E9" s="8" t="s">
        <v>1018</v>
      </c>
      <c r="F9" s="8" t="s">
        <v>1022</v>
      </c>
      <c r="G9" s="8" t="s">
        <v>853</v>
      </c>
      <c r="H9" s="8" t="s">
        <v>1020</v>
      </c>
      <c r="I9" s="8" t="s">
        <v>991</v>
      </c>
      <c r="J9" s="8" t="n">
        <v>1326</v>
      </c>
      <c r="K9" s="8" t="n">
        <v>5</v>
      </c>
      <c r="L9" s="8" t="n">
        <v>536.2962963</v>
      </c>
      <c r="M9" s="8"/>
    </row>
    <row r="10" customFormat="false" ht="23.85" hidden="false" customHeight="false" outlineLevel="0" collapsed="false">
      <c r="A10" s="8" t="s">
        <v>984</v>
      </c>
      <c r="B10" s="8" t="s">
        <v>1023</v>
      </c>
      <c r="C10" s="8" t="s">
        <v>1017</v>
      </c>
      <c r="D10" s="8" t="s">
        <v>231</v>
      </c>
      <c r="E10" s="8" t="s">
        <v>1018</v>
      </c>
      <c r="F10" s="8" t="s">
        <v>1024</v>
      </c>
      <c r="G10" s="8" t="s">
        <v>853</v>
      </c>
      <c r="H10" s="8" t="s">
        <v>1020</v>
      </c>
      <c r="I10" s="8" t="s">
        <v>991</v>
      </c>
      <c r="J10" s="8" t="n">
        <v>1326</v>
      </c>
      <c r="K10" s="8" t="n">
        <v>50</v>
      </c>
      <c r="L10" s="8" t="n">
        <v>341.4814815</v>
      </c>
      <c r="M10" s="8"/>
    </row>
    <row r="11" customFormat="false" ht="23.85" hidden="false" customHeight="false" outlineLevel="0" collapsed="false">
      <c r="A11" s="8" t="s">
        <v>984</v>
      </c>
      <c r="B11" s="8" t="s">
        <v>1025</v>
      </c>
      <c r="C11" s="8" t="s">
        <v>1017</v>
      </c>
      <c r="D11" s="8" t="s">
        <v>131</v>
      </c>
      <c r="E11" s="8" t="s">
        <v>1018</v>
      </c>
      <c r="F11" s="8" t="s">
        <v>1026</v>
      </c>
      <c r="G11" s="8" t="s">
        <v>853</v>
      </c>
      <c r="H11" s="8" t="s">
        <v>1020</v>
      </c>
      <c r="I11" s="8" t="s">
        <v>991</v>
      </c>
      <c r="J11" s="8" t="n">
        <v>1326</v>
      </c>
      <c r="K11" s="8" t="n">
        <v>5</v>
      </c>
      <c r="L11" s="8" t="n">
        <v>2667.75</v>
      </c>
      <c r="M11" s="8"/>
    </row>
    <row r="12" customFormat="false" ht="35.05" hidden="false" customHeight="false" outlineLevel="0" collapsed="false">
      <c r="A12" s="8" t="s">
        <v>984</v>
      </c>
      <c r="B12" s="8" t="s">
        <v>1027</v>
      </c>
      <c r="C12" s="8" t="s">
        <v>1017</v>
      </c>
      <c r="D12" s="8" t="s">
        <v>239</v>
      </c>
      <c r="E12" s="8" t="s">
        <v>1018</v>
      </c>
      <c r="F12" s="8" t="s">
        <v>1028</v>
      </c>
      <c r="G12" s="8" t="s">
        <v>853</v>
      </c>
      <c r="H12" s="8" t="s">
        <v>627</v>
      </c>
      <c r="I12" s="8" t="s">
        <v>628</v>
      </c>
      <c r="J12" s="8" t="n">
        <v>1326</v>
      </c>
      <c r="K12" s="8" t="n">
        <v>37</v>
      </c>
      <c r="L12" s="8" t="n">
        <v>0</v>
      </c>
      <c r="M12" s="8" t="s">
        <v>1029</v>
      </c>
    </row>
    <row r="13" customFormat="false" ht="35.05" hidden="false" customHeight="false" outlineLevel="0" collapsed="false">
      <c r="A13" s="8" t="s">
        <v>984</v>
      </c>
      <c r="B13" s="8" t="s">
        <v>1030</v>
      </c>
      <c r="C13" s="8" t="s">
        <v>1017</v>
      </c>
      <c r="D13" s="8" t="s">
        <v>183</v>
      </c>
      <c r="E13" s="8" t="s">
        <v>1018</v>
      </c>
      <c r="F13" s="8" t="s">
        <v>1031</v>
      </c>
      <c r="G13" s="8" t="s">
        <v>853</v>
      </c>
      <c r="H13" s="8" t="s">
        <v>627</v>
      </c>
      <c r="I13" s="8" t="s">
        <v>628</v>
      </c>
      <c r="J13" s="8" t="n">
        <v>1326</v>
      </c>
      <c r="K13" s="8" t="n">
        <v>31</v>
      </c>
      <c r="L13" s="8" t="n">
        <v>0</v>
      </c>
      <c r="M13" s="8" t="s">
        <v>1029</v>
      </c>
    </row>
    <row r="14" customFormat="false" ht="23.85" hidden="false" customHeight="false" outlineLevel="0" collapsed="false">
      <c r="A14" s="8" t="s">
        <v>984</v>
      </c>
      <c r="B14" s="8" t="s">
        <v>1032</v>
      </c>
      <c r="C14" s="8" t="s">
        <v>1017</v>
      </c>
      <c r="D14" s="8" t="s">
        <v>73</v>
      </c>
      <c r="E14" s="8" t="s">
        <v>1018</v>
      </c>
      <c r="F14" s="8" t="s">
        <v>1033</v>
      </c>
      <c r="G14" s="8" t="s">
        <v>853</v>
      </c>
      <c r="H14" s="8" t="s">
        <v>627</v>
      </c>
      <c r="I14" s="8" t="s">
        <v>628</v>
      </c>
      <c r="J14" s="8" t="n">
        <v>1326</v>
      </c>
      <c r="K14" s="8" t="n">
        <v>30</v>
      </c>
      <c r="L14" s="8" t="n">
        <v>0</v>
      </c>
      <c r="M14" s="8" t="s">
        <v>1029</v>
      </c>
    </row>
    <row r="15" customFormat="false" ht="23.85" hidden="false" customHeight="false" outlineLevel="0" collapsed="false">
      <c r="A15" s="8" t="s">
        <v>984</v>
      </c>
      <c r="B15" s="8" t="s">
        <v>1034</v>
      </c>
      <c r="C15" s="8" t="s">
        <v>1017</v>
      </c>
      <c r="D15" s="8" t="s">
        <v>271</v>
      </c>
      <c r="E15" s="8" t="s">
        <v>1018</v>
      </c>
      <c r="F15" s="8" t="s">
        <v>1035</v>
      </c>
      <c r="G15" s="8" t="s">
        <v>853</v>
      </c>
      <c r="H15" s="8" t="s">
        <v>627</v>
      </c>
      <c r="I15" s="8" t="s">
        <v>628</v>
      </c>
      <c r="J15" s="8" t="n">
        <v>1326</v>
      </c>
      <c r="K15" s="8" t="n">
        <v>96</v>
      </c>
      <c r="L15" s="8" t="n">
        <v>0</v>
      </c>
      <c r="M15" s="8" t="s">
        <v>1029</v>
      </c>
    </row>
    <row r="16" customFormat="false" ht="23.85" hidden="false" customHeight="false" outlineLevel="0" collapsed="false">
      <c r="A16" s="8" t="s">
        <v>984</v>
      </c>
      <c r="B16" s="8" t="s">
        <v>1036</v>
      </c>
      <c r="C16" s="8" t="s">
        <v>1017</v>
      </c>
      <c r="D16" s="8" t="s">
        <v>275</v>
      </c>
      <c r="E16" s="8" t="s">
        <v>1018</v>
      </c>
      <c r="F16" s="8" t="s">
        <v>1037</v>
      </c>
      <c r="G16" s="8" t="s">
        <v>853</v>
      </c>
      <c r="H16" s="8" t="s">
        <v>627</v>
      </c>
      <c r="I16" s="8" t="s">
        <v>628</v>
      </c>
      <c r="J16" s="8" t="n">
        <v>1326</v>
      </c>
      <c r="K16" s="8" t="n">
        <v>34</v>
      </c>
      <c r="L16" s="8" t="n">
        <v>0</v>
      </c>
      <c r="M16" s="8" t="s">
        <v>1029</v>
      </c>
    </row>
    <row r="17" customFormat="false" ht="23.85" hidden="false" customHeight="false" outlineLevel="0" collapsed="false">
      <c r="A17" s="8" t="s">
        <v>984</v>
      </c>
      <c r="B17" s="8" t="s">
        <v>1038</v>
      </c>
      <c r="C17" s="8" t="s">
        <v>1017</v>
      </c>
      <c r="D17" s="8" t="s">
        <v>195</v>
      </c>
      <c r="E17" s="8" t="s">
        <v>1018</v>
      </c>
      <c r="F17" s="8" t="s">
        <v>1039</v>
      </c>
      <c r="G17" s="8" t="s">
        <v>853</v>
      </c>
      <c r="H17" s="8" t="s">
        <v>1020</v>
      </c>
      <c r="I17" s="8" t="s">
        <v>991</v>
      </c>
      <c r="J17" s="8" t="n">
        <v>1326</v>
      </c>
      <c r="K17" s="8" t="n">
        <v>50</v>
      </c>
      <c r="L17" s="8" t="n">
        <v>110.9486166</v>
      </c>
      <c r="M17" s="8"/>
    </row>
    <row r="18" customFormat="false" ht="23.85" hidden="false" customHeight="false" outlineLevel="0" collapsed="false">
      <c r="A18" s="8" t="s">
        <v>984</v>
      </c>
      <c r="B18" s="8" t="s">
        <v>1040</v>
      </c>
      <c r="C18" s="8" t="s">
        <v>1017</v>
      </c>
      <c r="D18" s="8" t="s">
        <v>243</v>
      </c>
      <c r="E18" s="8" t="s">
        <v>1018</v>
      </c>
      <c r="F18" s="8" t="s">
        <v>1041</v>
      </c>
      <c r="G18" s="8" t="s">
        <v>853</v>
      </c>
      <c r="H18" s="8" t="s">
        <v>1020</v>
      </c>
      <c r="I18" s="8" t="s">
        <v>991</v>
      </c>
      <c r="J18" s="8" t="n">
        <v>1326</v>
      </c>
      <c r="K18" s="8" t="n">
        <v>50</v>
      </c>
      <c r="L18" s="8" t="n">
        <v>2807</v>
      </c>
      <c r="M18" s="8"/>
    </row>
    <row r="19" customFormat="false" ht="23.85" hidden="false" customHeight="false" outlineLevel="0" collapsed="false">
      <c r="A19" s="8" t="s">
        <v>984</v>
      </c>
      <c r="B19" s="8" t="s">
        <v>1042</v>
      </c>
      <c r="C19" s="8" t="s">
        <v>1017</v>
      </c>
      <c r="D19" s="8" t="s">
        <v>303</v>
      </c>
      <c r="E19" s="8" t="s">
        <v>1018</v>
      </c>
      <c r="F19" s="8" t="s">
        <v>1043</v>
      </c>
      <c r="G19" s="8" t="s">
        <v>853</v>
      </c>
      <c r="H19" s="8" t="s">
        <v>1044</v>
      </c>
      <c r="I19" s="8" t="s">
        <v>1045</v>
      </c>
      <c r="J19" s="8" t="n">
        <v>1326</v>
      </c>
      <c r="K19" s="8" t="n">
        <v>115</v>
      </c>
      <c r="L19" s="8" t="n">
        <v>0</v>
      </c>
      <c r="M19" s="8"/>
    </row>
    <row r="20" customFormat="false" ht="23.85" hidden="false" customHeight="false" outlineLevel="0" collapsed="false">
      <c r="A20" s="8" t="s">
        <v>984</v>
      </c>
      <c r="B20" s="8" t="s">
        <v>1046</v>
      </c>
      <c r="C20" s="8" t="s">
        <v>1017</v>
      </c>
      <c r="D20" s="8" t="s">
        <v>305</v>
      </c>
      <c r="E20" s="8" t="s">
        <v>1018</v>
      </c>
      <c r="F20" s="8" t="s">
        <v>1047</v>
      </c>
      <c r="G20" s="8" t="s">
        <v>853</v>
      </c>
      <c r="H20" s="8" t="s">
        <v>1044</v>
      </c>
      <c r="I20" s="8" t="s">
        <v>1045</v>
      </c>
      <c r="J20" s="8" t="n">
        <v>1326</v>
      </c>
      <c r="K20" s="8" t="n">
        <v>2</v>
      </c>
      <c r="L20" s="8" t="n">
        <v>0</v>
      </c>
      <c r="M20" s="8"/>
    </row>
    <row r="21" customFormat="false" ht="23.85" hidden="false" customHeight="false" outlineLevel="0" collapsed="false">
      <c r="A21" s="8" t="s">
        <v>984</v>
      </c>
      <c r="B21" s="8" t="s">
        <v>1048</v>
      </c>
      <c r="C21" s="8" t="s">
        <v>1017</v>
      </c>
      <c r="D21" s="8" t="s">
        <v>307</v>
      </c>
      <c r="E21" s="8" t="s">
        <v>1018</v>
      </c>
      <c r="F21" s="8" t="s">
        <v>1049</v>
      </c>
      <c r="G21" s="8" t="s">
        <v>853</v>
      </c>
      <c r="H21" s="8" t="s">
        <v>1044</v>
      </c>
      <c r="I21" s="8" t="s">
        <v>1045</v>
      </c>
      <c r="J21" s="8" t="n">
        <v>1326</v>
      </c>
      <c r="K21" s="8" t="n">
        <v>97</v>
      </c>
      <c r="L21" s="8" t="n">
        <v>0</v>
      </c>
      <c r="M21" s="8"/>
    </row>
    <row r="22" customFormat="false" ht="23.85" hidden="false" customHeight="false" outlineLevel="0" collapsed="false">
      <c r="A22" s="8" t="s">
        <v>984</v>
      </c>
      <c r="B22" s="8" t="s">
        <v>1050</v>
      </c>
      <c r="C22" s="8" t="s">
        <v>1017</v>
      </c>
      <c r="D22" s="8" t="s">
        <v>355</v>
      </c>
      <c r="E22" s="8" t="s">
        <v>1018</v>
      </c>
      <c r="F22" s="8" t="s">
        <v>1051</v>
      </c>
      <c r="G22" s="8" t="s">
        <v>853</v>
      </c>
      <c r="H22" s="8" t="s">
        <v>1052</v>
      </c>
      <c r="I22" s="8" t="s">
        <v>1053</v>
      </c>
      <c r="J22" s="8" t="n">
        <v>1326</v>
      </c>
      <c r="K22" s="8" t="n">
        <v>11</v>
      </c>
      <c r="L22" s="8" t="n">
        <v>0</v>
      </c>
      <c r="M22" s="8"/>
    </row>
    <row r="23" customFormat="false" ht="23.85" hidden="false" customHeight="false" outlineLevel="0" collapsed="false">
      <c r="A23" s="8" t="s">
        <v>984</v>
      </c>
      <c r="B23" s="8" t="s">
        <v>1054</v>
      </c>
      <c r="C23" s="8" t="s">
        <v>1017</v>
      </c>
      <c r="D23" s="8" t="s">
        <v>223</v>
      </c>
      <c r="E23" s="8" t="s">
        <v>1018</v>
      </c>
      <c r="F23" s="8" t="s">
        <v>1055</v>
      </c>
      <c r="G23" s="8" t="s">
        <v>853</v>
      </c>
      <c r="H23" s="8" t="s">
        <v>1052</v>
      </c>
      <c r="I23" s="8" t="s">
        <v>1053</v>
      </c>
      <c r="J23" s="8" t="n">
        <v>1326</v>
      </c>
      <c r="K23" s="8" t="n">
        <v>38</v>
      </c>
      <c r="L23" s="8" t="n">
        <v>0</v>
      </c>
      <c r="M23" s="8"/>
    </row>
    <row r="24" customFormat="false" ht="23.85" hidden="false" customHeight="false" outlineLevel="0" collapsed="false">
      <c r="A24" s="8" t="s">
        <v>984</v>
      </c>
      <c r="B24" s="8" t="s">
        <v>1056</v>
      </c>
      <c r="C24" s="8" t="s">
        <v>1017</v>
      </c>
      <c r="D24" s="8" t="s">
        <v>71</v>
      </c>
      <c r="E24" s="8" t="s">
        <v>1018</v>
      </c>
      <c r="F24" s="8" t="s">
        <v>1057</v>
      </c>
      <c r="G24" s="8" t="s">
        <v>853</v>
      </c>
      <c r="H24" s="8" t="s">
        <v>1052</v>
      </c>
      <c r="I24" s="8" t="s">
        <v>1053</v>
      </c>
      <c r="J24" s="8" t="n">
        <v>1326</v>
      </c>
      <c r="K24" s="8" t="n">
        <v>8</v>
      </c>
      <c r="L24" s="8" t="n">
        <v>156.8</v>
      </c>
      <c r="M24" s="8"/>
    </row>
    <row r="25" customFormat="false" ht="23.85" hidden="false" customHeight="false" outlineLevel="0" collapsed="false">
      <c r="A25" s="8" t="s">
        <v>984</v>
      </c>
      <c r="B25" s="8" t="s">
        <v>1058</v>
      </c>
      <c r="C25" s="8" t="s">
        <v>1017</v>
      </c>
      <c r="D25" s="8" t="s">
        <v>135</v>
      </c>
      <c r="E25" s="8" t="s">
        <v>1018</v>
      </c>
      <c r="F25" s="8" t="s">
        <v>1059</v>
      </c>
      <c r="G25" s="8" t="s">
        <v>853</v>
      </c>
      <c r="H25" s="8" t="s">
        <v>1060</v>
      </c>
      <c r="I25" s="8" t="s">
        <v>991</v>
      </c>
      <c r="J25" s="8" t="n">
        <v>1326</v>
      </c>
      <c r="K25" s="8" t="n">
        <v>2</v>
      </c>
      <c r="L25" s="8" t="s">
        <v>855</v>
      </c>
      <c r="M25" s="8" t="s">
        <v>1061</v>
      </c>
    </row>
    <row r="26" customFormat="false" ht="23.85" hidden="false" customHeight="false" outlineLevel="0" collapsed="false">
      <c r="A26" s="8" t="s">
        <v>984</v>
      </c>
      <c r="B26" s="8" t="s">
        <v>1062</v>
      </c>
      <c r="C26" s="8" t="s">
        <v>1017</v>
      </c>
      <c r="D26" s="8" t="s">
        <v>141</v>
      </c>
      <c r="E26" s="8" t="s">
        <v>1018</v>
      </c>
      <c r="F26" s="8" t="s">
        <v>1063</v>
      </c>
      <c r="G26" s="8" t="s">
        <v>853</v>
      </c>
      <c r="H26" s="8" t="s">
        <v>627</v>
      </c>
      <c r="I26" s="8" t="s">
        <v>628</v>
      </c>
      <c r="J26" s="8" t="n">
        <v>1326</v>
      </c>
      <c r="K26" s="8" t="n">
        <v>36</v>
      </c>
      <c r="L26" s="8" t="n">
        <v>0</v>
      </c>
      <c r="M26" s="8" t="s">
        <v>1029</v>
      </c>
    </row>
    <row r="27" customFormat="false" ht="35.05" hidden="false" customHeight="false" outlineLevel="0" collapsed="false">
      <c r="A27" s="8" t="s">
        <v>1064</v>
      </c>
      <c r="B27" s="8" t="s">
        <v>1003</v>
      </c>
      <c r="C27" s="8" t="s">
        <v>986</v>
      </c>
      <c r="D27" s="8" t="s">
        <v>1004</v>
      </c>
      <c r="E27" s="8" t="s">
        <v>988</v>
      </c>
      <c r="F27" s="8" t="s">
        <v>1005</v>
      </c>
      <c r="G27" s="8" t="s">
        <v>990</v>
      </c>
      <c r="H27" s="8" t="s">
        <v>991</v>
      </c>
      <c r="I27" s="8" t="s">
        <v>991</v>
      </c>
      <c r="J27" s="8" t="n">
        <v>424</v>
      </c>
      <c r="K27" s="8" t="n">
        <v>415</v>
      </c>
      <c r="L27" s="8" t="s">
        <v>1065</v>
      </c>
      <c r="M27" s="8" t="s">
        <v>1066</v>
      </c>
    </row>
    <row r="28" customFormat="false" ht="35.05" hidden="false" customHeight="false" outlineLevel="0" collapsed="false">
      <c r="A28" s="8" t="s">
        <v>1064</v>
      </c>
      <c r="B28" s="8" t="s">
        <v>1008</v>
      </c>
      <c r="C28" s="8" t="s">
        <v>986</v>
      </c>
      <c r="D28" s="8" t="s">
        <v>1009</v>
      </c>
      <c r="E28" s="8" t="s">
        <v>988</v>
      </c>
      <c r="F28" s="8" t="s">
        <v>1010</v>
      </c>
      <c r="G28" s="8" t="s">
        <v>990</v>
      </c>
      <c r="H28" s="8" t="s">
        <v>991</v>
      </c>
      <c r="I28" s="8" t="s">
        <v>991</v>
      </c>
      <c r="J28" s="8" t="n">
        <v>424</v>
      </c>
      <c r="K28" s="8" t="n">
        <v>2</v>
      </c>
      <c r="L28" s="8" t="s">
        <v>1067</v>
      </c>
      <c r="M28" s="8" t="s">
        <v>1068</v>
      </c>
    </row>
    <row r="29" customFormat="false" ht="35.05" hidden="false" customHeight="false" outlineLevel="0" collapsed="false">
      <c r="A29" s="8" t="s">
        <v>1064</v>
      </c>
      <c r="B29" s="8" t="s">
        <v>1069</v>
      </c>
      <c r="C29" s="8" t="s">
        <v>1070</v>
      </c>
      <c r="D29" s="8" t="s">
        <v>45</v>
      </c>
      <c r="E29" s="8" t="s">
        <v>1018</v>
      </c>
      <c r="F29" s="8" t="s">
        <v>1071</v>
      </c>
      <c r="G29" s="8" t="s">
        <v>853</v>
      </c>
      <c r="H29" s="8" t="s">
        <v>1072</v>
      </c>
      <c r="I29" s="8" t="s">
        <v>1073</v>
      </c>
      <c r="J29" s="8" t="n">
        <v>424</v>
      </c>
      <c r="K29" s="8" t="n">
        <v>424</v>
      </c>
      <c r="L29" s="8" t="n">
        <v>66.9813</v>
      </c>
      <c r="M29" s="8" t="s">
        <v>1074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2026-07-14T14:11:47Z</dcterms:created>
  <dc:creator>openpyxl</dc:creator>
  <dc:description/>
  <dc:language>en-US</dc:language>
  <cp:lastModifiedBy/>
  <dcterms:modified xsi:type="dcterms:W3CDTF">2026-07-14T14:11:47Z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